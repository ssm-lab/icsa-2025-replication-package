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RA-to-framework-summary" sheetId="1" r:id="rId5"/>
    <sheet state="visible" name="final-RA-to-framework-detail" sheetId="2" r:id="rId6"/>
  </sheets>
  <definedNames/>
  <calcPr/>
</workbook>
</file>

<file path=xl/sharedStrings.xml><?xml version="1.0" encoding="utf-8"?>
<sst xmlns="http://schemas.openxmlformats.org/spreadsheetml/2006/main" count="1054" uniqueCount="573">
  <si>
    <t>Framework ID</t>
  </si>
  <si>
    <t>F1</t>
  </si>
  <si>
    <t>F2</t>
  </si>
  <si>
    <t>F3</t>
  </si>
  <si>
    <t>F4</t>
  </si>
  <si>
    <t>F5</t>
  </si>
  <si>
    <t>F6</t>
  </si>
  <si>
    <t>F7</t>
  </si>
  <si>
    <t>F8</t>
  </si>
  <si>
    <t>F9</t>
  </si>
  <si>
    <t>F10</t>
  </si>
  <si>
    <t>F11</t>
  </si>
  <si>
    <t>F12</t>
  </si>
  <si>
    <t>F13</t>
  </si>
  <si>
    <t>F14</t>
  </si>
  <si>
    <t>F15</t>
  </si>
  <si>
    <t>F16</t>
  </si>
  <si>
    <t>F17</t>
  </si>
  <si>
    <t>F18</t>
  </si>
  <si>
    <t>Framework name</t>
  </si>
  <si>
    <t>Gymnasium</t>
  </si>
  <si>
    <t>PettingZoo</t>
  </si>
  <si>
    <t>Unity ML-Agents</t>
  </si>
  <si>
    <t>Isaac Gym</t>
  </si>
  <si>
    <t>Isaac Lab</t>
  </si>
  <si>
    <t>dm_control</t>
  </si>
  <si>
    <t>DeepMind Lab</t>
  </si>
  <si>
    <t>Arcade Learning Environment</t>
  </si>
  <si>
    <t>Jumanji</t>
  </si>
  <si>
    <t>Stable Baselines3</t>
  </si>
  <si>
    <t>RL Baselines3 Zoo</t>
  </si>
  <si>
    <t>RLlib</t>
  </si>
  <si>
    <t>Acme</t>
  </si>
  <si>
    <t>MARLlib</t>
  </si>
  <si>
    <t>BenchMARL</t>
  </si>
  <si>
    <t>Mava</t>
  </si>
  <si>
    <t>Dopamine</t>
  </si>
  <si>
    <t>Tianshou</t>
  </si>
  <si>
    <t>Component group</t>
  </si>
  <si>
    <t>Component</t>
  </si>
  <si>
    <t>towers2025gymnasium</t>
  </si>
  <si>
    <t>terry2021pettingzoo</t>
  </si>
  <si>
    <t>juliani2020</t>
  </si>
  <si>
    <t>makoviychuk2021isaac</t>
  </si>
  <si>
    <t>mittal2025isaac</t>
  </si>
  <si>
    <t>tunyasuvunakool2020</t>
  </si>
  <si>
    <t>beattie2016deepmind</t>
  </si>
  <si>
    <t>bellemare2013arcade</t>
  </si>
  <si>
    <t>bonnet2024jumanji</t>
  </si>
  <si>
    <t>stable-baselines3</t>
  </si>
  <si>
    <t>rl-zoo3</t>
  </si>
  <si>
    <t>liang2018rllib</t>
  </si>
  <si>
    <t>hoffman2020acme</t>
  </si>
  <si>
    <t>hu2022marllib</t>
  </si>
  <si>
    <t>bettini2024benchmarl</t>
  </si>
  <si>
    <t>dekock2023mava</t>
  </si>
  <si>
    <t>castro18dopamine</t>
  </si>
  <si>
    <t>tianshou</t>
  </si>
  <si>
    <t>Experiment Orchestrator</t>
  </si>
  <si>
    <t>not implemented</t>
  </si>
  <si>
    <t>implicit</t>
  </si>
  <si>
    <t>Experiment Manager</t>
  </si>
  <si>
    <t>explicit</t>
  </si>
  <si>
    <t>Hyperparameter Tuner</t>
  </si>
  <si>
    <t>external</t>
  </si>
  <si>
    <t>Benchmark Manager</t>
  </si>
  <si>
    <t>Framework Orchestrator</t>
  </si>
  <si>
    <t>Lifecycle Manager</t>
  </si>
  <si>
    <t>Configuration Manager</t>
  </si>
  <si>
    <t>Multi-Agent Coordinator</t>
  </si>
  <si>
    <t>Distributed Execution 
Coordinator</t>
  </si>
  <si>
    <t>Agent</t>
  </si>
  <si>
    <t>Function Approximator</t>
  </si>
  <si>
    <t>Buffer</t>
  </si>
  <si>
    <t>Learner</t>
  </si>
  <si>
    <t>Environment</t>
  </si>
  <si>
    <t>Environment Core</t>
  </si>
  <si>
    <t>Simulator</t>
  </si>
  <si>
    <t>Simulator Adapter</t>
  </si>
  <si>
    <t>Data Persistence</t>
  </si>
  <si>
    <t>Checkpoint Manager</t>
  </si>
  <si>
    <t>Environment Parameter 
Manager</t>
  </si>
  <si>
    <t>Monitoring &amp; Visualization</t>
  </si>
  <si>
    <t>Renderer</t>
  </si>
  <si>
    <t>Recorder</t>
  </si>
  <si>
    <t>Logger</t>
  </si>
  <si>
    <t>Reporter</t>
  </si>
  <si>
    <t>Component status</t>
  </si>
  <si>
    <t>Link</t>
  </si>
  <si>
    <t>Code snippet</t>
  </si>
  <si>
    <t>Explanation</t>
  </si>
  <si>
    <t>External library</t>
  </si>
  <si>
    <r>
      <rPr>
        <color rgb="FF1155CC"/>
        <u/>
      </rPr>
      <t>https://github.com/Farama-Foundation/Gymnasium/blob/main/gymnasium/core.py</t>
    </r>
    <r>
      <rPr/>
      <t xml:space="preserve"> </t>
    </r>
  </si>
  <si>
    <t>class Env(Generic[ObsType, ActType]):
    r"""The main Gymnasium class for implementing Reinforcement Learning Agents environments.</t>
  </si>
  <si>
    <r>
      <rPr>
        <rFont val="Arial"/>
        <color rgb="FF1155CC"/>
        <u/>
      </rPr>
      <t>https://github.com/Farama-Foundation/Gymnasium/blob/main/gymnasium/core.py</t>
    </r>
    <r>
      <rPr>
        <rFont val="Arial"/>
      </rPr>
      <t xml:space="preserve"> ;
</t>
    </r>
    <r>
      <rPr>
        <rFont val="Arial"/>
        <color rgb="FF1155CC"/>
        <u/>
      </rPr>
      <t>https://github.com/Farama-Foundation/Gymnasium/tree/main/gymnasium/envs</t>
    </r>
    <r>
      <rPr>
        <rFont val="Arial"/>
      </rPr>
      <t xml:space="preserve"> </t>
    </r>
  </si>
  <si>
    <t>class Env(Generic[ObsType, ActType]):
    r"""The main Gymnasium class for implementing Reinforcement Learning Agents environments.
    The class encapsulates an environment with arbitrary behind-the-scenes dynamics through the :meth:`step` and :meth:`reset` functions.
    An environment can be partially or fully observed by single agents.</t>
  </si>
  <si>
    <t>Action: each env’s step() to execute;
Observation: step() reset() return observation value
Reward: calculated inside each env’s step()
IN envs/ implement list of envs</t>
  </si>
  <si>
    <r>
      <rPr/>
      <t xml:space="preserve">Mujoco: </t>
    </r>
    <r>
      <rPr>
        <color rgb="FF1155CC"/>
        <u/>
      </rPr>
      <t>https://github.com/Farama-Foundation/Gymnasium/blob/main/gymnasium/envs/mujoco/mujoco_env.py</t>
    </r>
    <r>
      <rPr/>
      <t xml:space="preserve"> 
Box2D: </t>
    </r>
    <r>
      <rPr>
        <color rgb="FF1155CC"/>
        <u/>
      </rPr>
      <t>https://github.com/Farama-Foundation/Gymnasium/blob/main/gymnasium/envs/box2d/bipedal_walker.py</t>
    </r>
    <r>
      <rPr/>
      <t xml:space="preserve"> </t>
    </r>
  </si>
  <si>
    <t>import mujoco
import Box2D</t>
  </si>
  <si>
    <t>either merge into the pre-packaged environments or
rely on external simulators</t>
  </si>
  <si>
    <t>https://github.com/Farama-Foundation/Gymnasium/blob/main/gymnasium/envs/mujoco/mujoco_env.py</t>
  </si>
  <si>
    <t>gymnasium/envs/mujoco/mujoco_env.py
class MujocoEnv(gym.Env):
    """Superclass for MuJoCo based environments."""
_initialize_simulation, _step_mujoco_simulation</t>
  </si>
  <si>
    <t>many, depends on different simulator, for example in the link, function call to the Mujoco simulator</t>
  </si>
  <si>
    <r>
      <rPr>
        <color rgb="FF1155CC"/>
        <u/>
      </rPr>
      <t xml:space="preserve">https://github.com/Farama-Foundation/Gymnasium/blob/main/gymnasium/envs/mujoco/mujoco_rendering.py </t>
    </r>
    <r>
      <rPr/>
      <t xml:space="preserve">;
</t>
    </r>
    <r>
      <rPr>
        <color rgb="FF1155CC"/>
        <u/>
      </rPr>
      <t>https://github.com/Farama-Foundation/Gymnasium/blob/main/gymnasium/wrappers/vector/rendering.py</t>
    </r>
    <r>
      <rPr/>
      <t xml:space="preserve"> </t>
    </r>
  </si>
  <si>
    <t>BaseRender: 
Render context superclass for offscreen and window rendering.
OffScreenViewer(BaseRender):
Offscreen rendering class with opengl context.
-----
class HumanRendering(VectorWrapper, gym.utils.RecordConstructorArgs):
Adds support for Human-based Rendering for Vector-based environments.</t>
  </si>
  <si>
    <r>
      <rPr>
        <color rgb="FF1155CC"/>
        <u/>
      </rPr>
      <t>https://github.com/Farama-Foundation/Gymnasium/blob/main/gymnasium/wrappers/vector/rendering.py</t>
    </r>
    <r>
      <rPr/>
      <t xml:space="preserve"> ;
</t>
    </r>
    <r>
      <rPr>
        <color rgb="FF1155CC"/>
        <u/>
      </rPr>
      <t>https://github.com/Farama-Foundation/Gymnasium/blob/main/gymnasium/utils/save_video.py</t>
    </r>
    <r>
      <rPr/>
      <t xml:space="preserve"> </t>
    </r>
  </si>
  <si>
    <t>class RecordVideo: 
Adds support for video recording for Vector-based environments.
-----
def save_video(): Save videos from rendering frames.
-- call frames=env.render()</t>
  </si>
  <si>
    <r>
      <rPr>
        <color rgb="FF1155CC"/>
        <u/>
      </rPr>
      <t>https://github.com/Farama-Foundation/Gymnasium/blob/main/gymnasium/logger.py</t>
    </r>
    <r>
      <rPr/>
      <t xml:space="preserve"> ;
</t>
    </r>
    <r>
      <rPr>
        <color rgb="FF1155CC"/>
        <u/>
      </rPr>
      <t>https://github.com/Farama-Foundation/Gymnasium/blob/main/gymnasium/wrappers/vector/common.py</t>
    </r>
    <r>
      <rPr/>
      <t xml:space="preserve"> </t>
    </r>
  </si>
  <si>
    <t>Set of functions for logging messages.
-----
class RecordEpisodeStatistics(VectorWrapper):
This wrapper will keep track of cumulative rewards and episode lengths.
the most recent rewards and episode lengths are stored in buffers that can be accessed via
    :attr:`wrapped_env.return_queue` and :attr:`wrapped_env.length_queue` respectively.</t>
  </si>
  <si>
    <r>
      <rPr>
        <color rgb="FF1155CC"/>
        <u/>
      </rPr>
      <t>https://github.com/Farama-Foundation/Gymnasium/blob/main/gymnasium/wrappers/vector/common.py</t>
    </r>
    <r>
      <rPr/>
      <t xml:space="preserve"> </t>
    </r>
  </si>
  <si>
    <t>class RecordEpisodeStatistics(VectorWrapper):
This wrapper will keep track of cumulative rewards and episode lengths.
the most recent rewards and episode lengths are stored in buffers that can be accessed via
    :attr:`wrapped_env.return_queue` and :attr:`wrapped_env.length_queue` respectively.</t>
  </si>
  <si>
    <r>
      <rPr>
        <color rgb="FF1155CC"/>
        <u/>
      </rPr>
      <t>https://github.com/Farama-Foundation/PettingZoo/blob/master/pettingzoo/utils/agent_selector.py</t>
    </r>
    <r>
      <rPr/>
      <t xml:space="preserve"> </t>
    </r>
  </si>
  <si>
    <t>class AgentSelector:
    """Outputs an agent in the given order whenever agent_select is called.
    Can reinitialize to a new order.</t>
  </si>
  <si>
    <t>The agent selector utility allows for easy cycling of agents in an AEC environment. 
At any time it can be reset or reinitialized with a new order, allowing for changes in turn order or handling a dynamic number of agents.
Also, for Parallel: steps every live agent at once
actions provided as {agent_id: action} dict
(Parallel env implementation logic)</t>
  </si>
  <si>
    <r>
      <rPr>
        <rFont val="Arial"/>
        <color rgb="FF1155CC"/>
        <u/>
      </rPr>
      <t>https://github.com/Farama-Foundation/PettingZoo/blob/master/pettingzoo/utils/env.py</t>
    </r>
    <r>
      <rPr>
        <rFont val="Arial"/>
      </rPr>
      <t xml:space="preserve"> </t>
    </r>
  </si>
  <si>
    <t xml:space="preserve">
class AECEnv(Generic[AgentID, ObsType, ActionType]):
    """The AECEnv steps agents one at a time.
class ParallelEnv(Generic[AgentID, ObsType, ActionType]):
    """Parallel environment class.</t>
  </si>
  <si>
    <r>
      <rPr>
        <rFont val="Arial"/>
        <color rgb="FF1155CC"/>
        <u/>
      </rPr>
      <t>https://github.com/Farama-Foundation/PettingZoo/blob/master/pettingzoo/utils/env.py</t>
    </r>
    <r>
      <rPr>
        <rFont val="Arial"/>
      </rPr>
      <t xml:space="preserve"> </t>
    </r>
  </si>
  <si>
    <t>AECEnv, ParallelEnv</t>
  </si>
  <si>
    <t xml:space="preserve">Action: In each env’s step() to execute;
Observation: Inside each env’s observe(agent) method (AEC) 
or in its step() return (Parallel)
Reward: Inside each env’s step()
internally, the env keeps a per-agent 
env.rewards[agent] dict that accumulates 
increments between that agent’s turn
env.last() method provides cumulative rewards 
since agent's last action for current agent </t>
  </si>
  <si>
    <r>
      <rPr>
        <color rgb="FF1155CC"/>
        <u/>
      </rPr>
      <t>https://github.com/Farama-Foundation/PettingZoo/blob/master/pettingzoo/mpe/_mpe_utils/core.py</t>
    </r>
    <r>
      <rPr/>
      <t xml:space="preserve"> </t>
    </r>
  </si>
  <si>
    <t>class World:  # multi-agent world
    def __init__(self):
        # list of agents and entities (can change at execution-time!)
        self.agents = []
        self.landmarks = []
        # communication channel dimensionality
        self.dim_c = 0
        # position dimensionality
        self.dim_p = 2
        # color dimensionality
        self.dim_color = 3
        # simulation timestep
        self.dt = 0.1
        # physical damping
        self.damping = 0.25
        # contact response parameters
        self.contact_force = 1e2
        self.contact_margin = 1e-3
 # update state of the world
    def step(self):
        # set actions for scripted agents
        for agent in self.scripted_agents:
            agent.action = agent.action_callback(agent, self)
        # gather forces applied to entities
        p_force = [None] * len(self.entities)
        # apply agent physical controls
        p_force = self.apply_action_force(p_force)
        # apply environment forces
        p_force = self.apply_environment_force(p_force)
        # integrate physical state
        self.integrate_state(p_force)
        # update agent state
        for agent in self.agents:
            self.update_agent_state(agent)</t>
  </si>
  <si>
    <t>Atari: ALE (Stella) via ale-py; 
MPE: lightweight physics in Python; 
classic: board-game logic in Python
butterfly: custom simulators.
For example, here it's do simulation step</t>
  </si>
  <si>
    <r>
      <rPr>
        <color rgb="FF1155CC"/>
        <u/>
      </rPr>
      <t>https://github.com/Farama-Foundation/PettingZoo/blob/master/pettingzoo/sisl/multiwalker/multiwalker_base.py</t>
    </r>
    <r>
      <rPr/>
      <t xml:space="preserve"> </t>
    </r>
  </si>
  <si>
    <t>class MultiWalkerEnv:
Initializes the `MultiWalkerEnv` class.
self.world = Box2D.b2World()</t>
  </si>
  <si>
    <t>many, depends on different simulator, for example, adapter inside the Env to use Box2D</t>
  </si>
  <si>
    <r>
      <rPr>
        <color rgb="FF1155CC"/>
        <u/>
      </rPr>
      <t>https://github.com/Farama-Foundation/PettingZoo/blob/master/pettingzoo/sisl/multiwalker/multiwalker_base.py</t>
    </r>
    <r>
      <rPr/>
      <t xml:space="preserve"> </t>
    </r>
  </si>
  <si>
    <t>Renders the environment as specified by self.render_mode.
Render mode can be human to display a window. 
Other render modes in the default environments are ‘rgb_array’ which 
returns a numpy array and is supported by all environments outside of classic, 
and ‘ansi’ which returns the strings printed (specific to classic environments).</t>
  </si>
  <si>
    <t>in each env implementation
provides render() for example</t>
  </si>
  <si>
    <r>
      <rPr>
        <color rgb="FF1155CC"/>
        <u/>
      </rPr>
      <t>https://github.com/Farama-Foundation/PettingZoo/blob/master/pettingzoo/utils/save_observation.py</t>
    </r>
    <r>
      <rPr/>
      <t xml:space="preserve"> </t>
    </r>
  </si>
  <si>
    <t># save the observation of an agent. If agent not specified uses env selected agent. If all_agents
# then all agents in environment observation recorded.
im = Image.fromarray(rescaled)
        fname = os.path.join(save_folder, str(a) + ".png")
        im.save(fname)</t>
  </si>
  <si>
    <t>https://github.com/Farama-Foundation/PettingZoo/blob/master/pettingzoo/utils/env_logger.py</t>
  </si>
  <si>
    <t>class EnvLogger:
Used for logging warnings and errors for environments.</t>
  </si>
  <si>
    <r>
      <rPr>
        <color rgb="FF1155CC"/>
        <u/>
      </rPr>
      <t>https://github.com/Farama-Foundation/PettingZoo/blob/master/pettingzoo/utils/average_total_reward.py</t>
    </r>
    <r>
      <rPr/>
      <t xml:space="preserve"> </t>
    </r>
  </si>
  <si>
    <t xml:space="preserve">Calculates the average total reward over the episodes for AEC environments.
</t>
  </si>
  <si>
    <t>(and print out)</t>
  </si>
  <si>
    <r>
      <rPr>
        <color rgb="FF1155CC"/>
        <u/>
      </rPr>
      <t>https://github.com/Unity-Technologies/ml-agents/blob/develop/ml-agents/mlagents/trainers/run_experiment.py</t>
    </r>
    <r>
      <rPr/>
      <t xml:space="preserve"> </t>
    </r>
  </si>
  <si>
    <t>def main():
    """
    Provides an alternative CLI interface to mlagents-learn, 'mlagents-run-experiment'.
    Accepts a JSON/YAML formatted mlagents.trainers.learn.RunOptions object, and executes
    the run loop as defined in mlagents.trainers.learn.run_cli.
    """
    args = parse_command_line()
    expt_config = load_config(args.experiment_config_path)
    _, _ = register_trainer_plugins()
    run_cli(RunOptions.from_dict(expt_config))
if __name__ == "__main__":
    main()</t>
  </si>
  <si>
    <t>(user-entry point, take config)
take user input, run: learn</t>
  </si>
  <si>
    <r>
      <rPr>
        <color rgb="FF1155CC"/>
        <u/>
      </rPr>
      <t>https://github.com/Unity-Technologies/ml-agents/blob/develop/ml-agents/mlagents/trainers/learn.py</t>
    </r>
    <r>
      <rPr/>
      <t xml:space="preserve"> </t>
    </r>
  </si>
  <si>
    <t xml:space="preserve">def run_training(run_seed: int, options: RunOptions, num_areas: int) -&gt; None:
    """
    Launches training session.
</t>
  </si>
  <si>
    <t>learn -&gt; run_training
configs everything; setup loggers/checkpoints; if need reports..
Create controller and begin training.
after that get results.</t>
  </si>
  <si>
    <r>
      <rPr>
        <color rgb="FF1155CC"/>
        <u/>
      </rPr>
      <t>https://github.com/Unity-Technologies/ml-agents/blob/develop/ml-agents/mlagents/trainers/trainer_controller.py</t>
    </r>
    <r>
      <rPr/>
      <t xml:space="preserve"> </t>
    </r>
  </si>
  <si>
    <t xml:space="preserve">"""Launches trainers for each External Brains in a Unity Environment."""
TrainerController
start_learning(), end_trainer_episodes, reset_env_if_ready, </t>
  </si>
  <si>
    <t>Also, The ML-Agents Academy class orchestrates the agent simulation loop
The Academy is a singleton which orchestrates Agents and their decision making processes.</t>
  </si>
  <si>
    <r>
      <rPr>
        <color rgb="FF1155CC"/>
        <u/>
      </rPr>
      <t>https://github.com/Unity-Technologies/ml-agents/blob/develop/com.unity.ml-agents/Runtime/IMultiAgentGroup.cs</t>
    </r>
    <r>
      <rPr/>
      <t xml:space="preserve"> ;
</t>
    </r>
    <r>
      <rPr>
        <color rgb="FF1155CC"/>
        <u/>
      </rPr>
      <t>https://github.com/Unity-Technologies/ml-agents/blob/develop/com.unity.ml-agents/Runtime/Academy.cs</t>
    </r>
    <r>
      <rPr/>
      <t xml:space="preserve"> </t>
    </r>
  </si>
  <si>
    <t>MultiAgentGroup interface for grouping agents to support multi-agent training.
The Academy uses a series of events to communicate with agents to facilitate synchronization. More specifically, it ensures that all the agents perform their steps in a consistent order (i.e. no agent can act based on a decision before another agent has had a chance o request a decision).</t>
  </si>
  <si>
    <r>
      <rPr>
        <color rgb="FF1155CC"/>
        <u/>
      </rPr>
      <t>https://github.com/Unity-Technologies/ml-agents/blob/develop/com.unity.ml-agents/Runtime/Agent.cs ;
https://github.com/Unity-Technologies/ml-agents/blob/develop/ml-agents/mlagents/trainers/trainer/trainer.py</t>
    </r>
    <r>
      <rPr/>
      <t xml:space="preserve"> </t>
    </r>
  </si>
  <si>
    <t>Agent; Trainer: responsible for collecting experiences and training a neural network model.</t>
  </si>
  <si>
    <r>
      <rPr>
        <color rgb="FF1155CC"/>
        <u/>
      </rPr>
      <t>https://github.com/Unity-Technologies/ml-agents/blob/develop/com.unity.ml-agents/Runtime/Policies/IPolicy.cs</t>
    </r>
    <r>
      <rPr/>
      <t xml:space="preserve"> </t>
    </r>
  </si>
  <si>
    <t xml:space="preserve">IPolicy is connected to a single Agent. Each time the agent needs a decision, it will request a decision to the Policy. </t>
  </si>
  <si>
    <r>
      <rPr>
        <color rgb="FF1155CC"/>
        <u/>
      </rPr>
      <t>https://github.com/Unity-Technologies/ml-agents/blob/develop/ml-agents/mlagents/trainers/buffer.py</t>
    </r>
    <r>
      <rPr/>
      <t xml:space="preserve"> </t>
    </r>
  </si>
  <si>
    <t>AgentBuffer(MutableMapping):
AgentBuffer contains a dictionary of AgentBufferFields. 
Each agent has his own AgentBuffer.</t>
  </si>
  <si>
    <r>
      <rPr>
        <color rgb="FF1155CC"/>
        <u/>
      </rPr>
      <t>https://github.com/Unity-Technologies/ml-agents/blob/develop/ml-agents/mlagents/trainers/trainer/trainer.py</t>
    </r>
    <r>
      <rPr/>
      <t xml:space="preserve"> </t>
    </r>
  </si>
  <si>
    <t>Trainer: responsible for collecting experiences and training a neural network model.
def advance(self) -&gt; None:
Advances the trainer. Typically, this means grabbing trajectories
from all subscribed trajectory queues (self.trajectory_queues), and updating a policy using the steps in them, and if needed pushing a new policy onto the right policy queues (self.policy_queues).</t>
  </si>
  <si>
    <t>contains in Agent itself, not seperate module</t>
  </si>
  <si>
    <r>
      <rPr>
        <color rgb="FF1155CC"/>
        <u/>
      </rPr>
      <t>https://github.com/Unity-Technologies/ml-agents/blob/develop/ml-agents-envs/mlagents_envs/base_env.py</t>
    </r>
    <r>
      <rPr/>
      <t xml:space="preserve"> ;
</t>
    </r>
    <r>
      <rPr>
        <color rgb="FF1155CC"/>
        <u/>
      </rPr>
      <t>https://github.com/Unity-Technologies/ml-agents/blob/develop/ml-agents-envs/mlagents_envs/environment.py</t>
    </r>
    <r>
      <rPr/>
      <t xml:space="preserve"> </t>
    </r>
  </si>
  <si>
    <r>
      <rPr>
        <color rgb="FF1155CC"/>
        <u/>
      </rPr>
      <t>https://github.com/Unity-Technologies/ml-agents/blob/develop/ml-agents-envs/mlagents_envs/base_env.py</t>
    </r>
    <r>
      <rPr/>
      <t xml:space="preserve"> </t>
    </r>
  </si>
  <si>
    <t>Python Environment API for the ML-Agents Toolkit
The aim of this API is to expose Agents evolving in a simulation
to perform reinforcement learning on.
This API supports multi-agent scenarios and groups similar Agents (same
observations, actions spaces and behavior) together. These groups of Agents are
identified by their BehaviorName.</t>
  </si>
  <si>
    <t>https://github.com/Unity-Technologies/ml-agents/tree/develop</t>
  </si>
  <si>
    <t>The Unity Machine Learning Agents Toolkit</t>
  </si>
  <si>
    <t>Unity Engine</t>
  </si>
  <si>
    <r>
      <rPr>
        <color rgb="FF1155CC"/>
        <u/>
      </rPr>
      <t>https://github.com/Unity-Technologies/ml-agents/blob/develop/ml-agents-envs/mlagents_envs/environment.py</t>
    </r>
    <r>
      <rPr/>
      <t xml:space="preserve"> </t>
    </r>
  </si>
  <si>
    <t>UnityEnvironment(BaseEnv)
Python&lt;-&gt; C# bridge [Runtime/Communicator/]
Communicator (py): Python side of the communication. 
ICommunicator (C#): interface of the Communicators</t>
  </si>
  <si>
    <t>The two communicators will then exchange their first  messages that will usually contain information for initialization.
Protocol: gRPC (Google Remote Procedure Call)
Unity -&gt; Python: observation; Python -&gt; Unity: action</t>
  </si>
  <si>
    <r>
      <rPr>
        <color rgb="FF1155CC"/>
        <u/>
      </rPr>
      <t>https://github.com/Unity-Technologies/ml-agents/blob/develop/ml-agents/mlagents/trainers/policy/checkpoint_manager.py</t>
    </r>
    <r>
      <rPr/>
      <t xml:space="preserve"> ;
</t>
    </r>
    <r>
      <rPr>
        <color rgb="FF1155CC"/>
        <u/>
      </rPr>
      <t>https://github.com/Unity-Technologies/ml-agents/blob/develop/ml-agents/mlagents/trainers/model_saver/model_saver.py</t>
    </r>
    <r>
      <rPr/>
      <t xml:space="preserve"> 
</t>
    </r>
  </si>
  <si>
    <t>ModelCheckpointManager
def get_checkpoints(behavior_name: str) -&gt; List[Dict[str, Any]]:
        checkpoint_list = GlobalTrainingStatus.get_parameter_state(
            behavior_name, StatusType.CHECKPOINTS
        )
def remove_checkpoint(checkpoint: Dict[str, Any]) -&gt; None:
        """
        Removes a checkpoint stored in checkpoint_list.
        If checkpoint cannot be found, no action is done.
def add_checkpoint(
        cls, behavior_name: str, new_checkpoint: ModelCheckpoint, keep_checkpoints: int
    ) -&gt; None:
------
class BaseModelSaver(abc.ABC):
This class is the base class for the ModelSaver
def save_checkpoint(self, behavior_name: str, step: int) -&gt; Tuple[str, List[str]]:
        """
        Checkpoints the policy on disk.</t>
  </si>
  <si>
    <r>
      <rPr>
        <color rgb="FF1155CC"/>
        <u/>
      </rPr>
      <t>https://github.com/Unity-Technologies/ml-agents/blob/develop/com.unity.ml-agents/Runtime/EnvironmentParameters.cs</t>
    </r>
    <r>
      <rPr/>
      <t xml:space="preserve"> </t>
    </r>
  </si>
  <si>
    <t>EnvironmentParameters C#:A container for the Environment Parameters that may be modified during training. The keys for those parameters are defined in the trainer configurations and the the values are generated from the training process in features such as Curriculum Learning and Environment Parameter Randomization.
Curriculum learning and environment parameter randomization are two training methods that control specific parameters in your environment. As such, it is important to ensure that your environment parameters are updated at each step to the correct values. To enable this, we expose a EnvironmentParameters C# class that you can use to retrieve the values of the parameters defined in the training configurations for both of those features. 
class EnvironmentParameterManager
EnvironmentParameterManager manages all the environment parameters of a training
session. It determines when parameters should change and gives access to the
current sampler of each parameter.</t>
  </si>
  <si>
    <t>https://github.com/Unity-Technologies/ml-agents/blob/develop/ml-agents-envs/mlagents_envs/envs/unity_gym_env.py</t>
  </si>
  <si>
    <t>def render(self, mode="rgb_array"):
Return the latest visual observations.</t>
  </si>
  <si>
    <t>inside env</t>
  </si>
  <si>
    <r>
      <rPr>
        <color rgb="FF1155CC"/>
        <u/>
      </rPr>
      <t>https://github.com/Unity-Technologies/ml-agents/blob/develop/ml-agents-envs/mlagents_envs/logging_util.py</t>
    </r>
    <r>
      <rPr/>
      <t xml:space="preserve"> ;
</t>
    </r>
    <r>
      <rPr>
        <color rgb="FF1155CC"/>
        <u/>
      </rPr>
      <t>https://github.com/Unity-Technologies/ml-agents/blob/develop/com.unity.ml-agents/Runtime/StatsRecorder.cs</t>
    </r>
    <r>
      <rPr/>
      <t xml:space="preserve"> </t>
    </r>
  </si>
  <si>
    <t xml:space="preserve">import logging
def get_logger(name: str) -&gt; logging.Logger:
    """
    Create a logger with the specified name. The logger will use the log level
    specified by set_log_level()
    """
    logger = logging.getLogger(name=name)
-----
com.unity.ml-agents/Runtime/StatsRecorder.cs
public sealed class StatsRecorder
Add a stat value for reporting.
We offer developers a mechanism to record statistics from within their Unity environments. These statistics are aggregated and generated during the training process. </t>
  </si>
  <si>
    <r>
      <rPr>
        <color rgb="FF1155CC"/>
        <u/>
      </rPr>
      <t>https://github.com/Unity-Technologies/ml-agents/blob/develop/ml-agents/mlagents/trainers/stats.py</t>
    </r>
    <r>
      <rPr/>
      <t xml:space="preserve"> </t>
    </r>
  </si>
  <si>
    <t>The ML-Agents Toolkit saves statistics 
during learning session that you can view with a TensorBoard 
class TensorboardWriter(StatsWriter):
    def __init__(
        self,
        base_dir: str,
        clear_past_data: bool = False,
        hidden_keys: Optional[List[str]] = None,
    ):
        """
        A StatsWriter that writes to a Tensorboard summary.</t>
  </si>
  <si>
    <t>stats recorder send data to StatsReporter</t>
  </si>
  <si>
    <t>Tensorboard</t>
  </si>
  <si>
    <r>
      <rPr>
        <color rgb="FF1155CC"/>
        <u/>
      </rPr>
      <t>https://github.com/isaac-sim/IsaacGymEnvs/blob/main/isaacgymenvs/tasks/base/vec_task.py</t>
    </r>
    <r>
      <rPr/>
      <t xml:space="preserve"> </t>
    </r>
  </si>
  <si>
    <t>Env</t>
  </si>
  <si>
    <r>
      <rPr>
        <color rgb="FF1155CC"/>
        <u/>
      </rPr>
      <t>https://github.com/isaac-sim/IsaacGymEnvs/blob/main/isaacgymenvs/tasks/base/vec_task.py</t>
    </r>
    <r>
      <rPr/>
      <t xml:space="preserve"> </t>
    </r>
  </si>
  <si>
    <t>class Env(ABC):
    def __init__(self, config: Dict[str, Any], rl_device: str, sim_device: str, graphics_device_id: int, headless: bool): 
        """Initialise the env.</t>
  </si>
  <si>
    <t>Action: 
Action Processing Pipeline (in step()):
observation+reward: in post_physics_step(); self.rew_buf; return in step()</t>
  </si>
  <si>
    <r>
      <rPr>
        <color rgb="FF1155CC"/>
        <u/>
      </rPr>
      <t>https://github.com/isaac-sim/IsaacGymEnvs/blob/main/isaacgymenvs/tasks/base/vec_task.py</t>
    </r>
    <r>
      <rPr/>
      <t xml:space="preserve"> </t>
    </r>
  </si>
  <si>
    <t>self.sim_params = self.__parse_sim_params(self.cfg["physics_engine"], self.cfg["sim"])
        if self.cfg["physics_engine"] == "physx":
            self.physics_engine = gymapi.SIM_PHYSX
        elif self.cfg["physics_engine"] == "flex":
            self.physics_engine = gymapi.SIM_FLEX
        else:
            msg = f"Invalid physics engine backend: {self.cfg['physics_engine']}"
            raise ValueError(msg)
set/get state
self.gym.simulate(self.sim)
self.gym.fetch_results(self.sim, True)</t>
  </si>
  <si>
    <t>PhysX / Flex on GPU</t>
  </si>
  <si>
    <t>PhysX / Flex</t>
  </si>
  <si>
    <r>
      <rPr>
        <color rgb="FF1155CC"/>
        <u/>
      </rPr>
      <t>https://github.com/isaac-sim/IsaacGymEnvs/blob/main/isaacgymenvs/tasks/base/vec_task.py</t>
    </r>
    <r>
      <rPr/>
      <t xml:space="preserve"> </t>
    </r>
  </si>
  <si>
    <t>VecTask
create_sim()
simulate() 
fetch_results()
render()
__parse_sim_params()</t>
  </si>
  <si>
    <t>create_sim() (initializes simulator)
simulate() / fetch_results()
render() (visualization adapter)
__parse_sim_params() (config translation)</t>
  </si>
  <si>
    <r>
      <rPr>
        <color rgb="FF1155CC"/>
        <u/>
      </rPr>
      <t>https://github.com/isaac-sim/IsaacGymEnvs/blob/main/docs/domain_randomization.md?plain=1</t>
    </r>
    <r>
      <rPr/>
      <t xml:space="preserve"> </t>
    </r>
  </si>
  <si>
    <t>We provide two interfaces to add 
domain randomization to your isaacgymenvs tasks:
Adding domain randomization parameters to your task's YAML config
Directly calling the apply_randomizations class method
Provided your task inherits from our VecTask class, you have great flexibility in choosing when to randomize and what distributions to sample, and can even change the entire domain randomization dictionary at every call to apply_randomizations if you wish.</t>
  </si>
  <si>
    <t>Adding domain randomization parameters to your task's YAML config
Directly calling the apply_randomizations class method
not a module</t>
  </si>
  <si>
    <r>
      <rPr>
        <color rgb="FF1155CC"/>
        <u/>
      </rPr>
      <t>https://github.com/isaac-sim/IsaacGymEnvs/blob/main/isaacgymenvs/tasks/base/vec_task.py</t>
    </r>
    <r>
      <rPr/>
      <t xml:space="preserve"> </t>
    </r>
  </si>
  <si>
    <t>def render(self, mode="rgb_array"):
Draw the frame to the viewer, and check for keyboard events
def set_viewer(self):
        """Create the viewer."""
        # todo: read from config
        self.enable_viewer_sync = True
        self.viewer = None</t>
  </si>
  <si>
    <t>viewer</t>
  </si>
  <si>
    <r>
      <rPr>
        <color rgb="FF1155CC"/>
        <u/>
      </rPr>
      <t>https://github.com/isaac-sim/IsaacGymEnvs/blob/main/isaacgymenvs/tasks/base/vec_task.py</t>
    </r>
    <r>
      <rPr/>
      <t xml:space="preserve"> </t>
    </r>
  </si>
  <si>
    <t>if self.record_frames:
 if not os.path.isdir(self.record_frames_dir):
os.makedirs(self.record_frames_dir, exist_ok=True)
self.gym.write_viewer_image_to_file(self.viewer, join(self.record_frames_dir, f"frame_{self.control_steps}.png"))</t>
  </si>
  <si>
    <t>merged in render func, not seperate</t>
  </si>
  <si>
    <r>
      <rPr>
        <color rgb="FF1155CC"/>
        <u/>
      </rPr>
      <t>https://github.com/isaac-sim/IsaacGymEnvs/blob/main/isaacgymenvs/tasks/amp/poselib/poselib/core/backend/logger.py</t>
    </r>
    <r>
      <rPr/>
      <t xml:space="preserve"> ;
</t>
    </r>
    <r>
      <rPr>
        <color rgb="FF1155CC"/>
        <u/>
      </rPr>
      <t>https://github.com/isaac-sim/IsaacGymEnvs/blob/main/isaacgymenvs/learning/common_agent.py</t>
    </r>
    <r>
      <rPr/>
      <t xml:space="preserve"> </t>
    </r>
  </si>
  <si>
    <t xml:space="preserve">import logging
-----
from tensorboardX import SummaryWriter
self.eval_summary_dir = "./eval_summaries"
# remove the old directory if it exists
if os.path.exists(self.eval_summary_dir):
import shutil
shutil.rmtree(self.eval_summary_dir)
self.eval_summaries = SummaryWriter(self.eval_summary_dir, flush_secs=3)
The SummaryWriter class is your main entry to log data for consumption and visualization by TensorBoard. </t>
  </si>
  <si>
    <r>
      <rPr>
        <color rgb="FF1155CC"/>
        <u/>
      </rPr>
      <t xml:space="preserve">https://github.com/isaac-sim/IsaacGymEnvs/blob/main/isaacgymenvs/learning/common_agent.py </t>
    </r>
    <r>
      <rPr>
        <color rgb="FF000000"/>
      </rPr>
      <t xml:space="preserve">;
</t>
    </r>
    <r>
      <rPr>
        <color rgb="FF1155CC"/>
        <u/>
      </rPr>
      <t>https://github.com/isaac-sim/IsaacGymEnvs/blob/main/isaacgymenvs/tasks/dextreme/allegro_hand_dextreme.py</t>
    </r>
    <r>
      <rPr>
        <color rgb="FF000000"/>
      </rPr>
      <t xml:space="preserve"> </t>
    </r>
  </si>
  <si>
    <t>The SummaryWriter class is your main entry to log data for consumption and visualization by TensorBoard. 
-----
from tensorboardX import SummaryWriter</t>
  </si>
  <si>
    <t xml:space="preserve">visualization by TensorBoard. </t>
  </si>
  <si>
    <t>TensorBoard</t>
  </si>
  <si>
    <r>
      <rPr>
        <color rgb="FF1155CC"/>
        <u/>
      </rPr>
      <t>https://github.com/isaac-sim/IsaacLab/blob/main/docs/source/features/hydra.rst</t>
    </r>
    <r>
      <rPr/>
      <t xml:space="preserve"> 
</t>
    </r>
    <r>
      <rPr>
        <color rgb="FF1155CC"/>
        <u/>
      </rPr>
      <t>https://github.com/isaac-sim/IsaacLab/blob/main/source/isaaclab_tasks/isaaclab_tasks/utils/hydra.py</t>
    </r>
    <r>
      <rPr/>
      <t xml:space="preserve"> </t>
    </r>
  </si>
  <si>
    <t>Isaac Lab supports the Hydra configuration system to modify the task’s configuration using command line arguments, which can be useful to automate experiments and perform hyperparameter tuning.
-----
def register_task_to_hydra(
    task_name: str, agent_cfg_entry_point: str
) -&gt; tuple[ManagerBasedRLEnvCfg | DirectRLEnvCfg, dict]:
    """Register the task configuration to the Hydra configuration store.
    This function resolves the configuration file for the environment and agent based on the task's name.
    It then registers the configurations to the Hydra configuration store.</t>
  </si>
  <si>
    <t>Hydra</t>
  </si>
  <si>
    <r>
      <rPr>
        <color rgb="FF1155CC"/>
        <u/>
      </rPr>
      <t>https://github.com/isaac-sim/IsaacLab/blob/main/source/isaaclab/isaaclab/envs/direct_marl_env.py</t>
    </r>
    <r>
      <rPr/>
      <t xml:space="preserve"> </t>
    </r>
  </si>
  <si>
    <t>env.DirectMARLEnv 
(based on the PettingZoo Parallel API.)
True mutli-agent training is only available with the skrl library, 
see the Multi-Agents Documentation for more information. 
This class implements the core functionality for multi-agent reinforcement learning (MARL)
environments. It is designed to be used with any RL library. 
actions: The actions to apply on the environment (keyed by the agent ID).</t>
  </si>
  <si>
    <t>not a module, but inside MARL environment, have some functionalities</t>
  </si>
  <si>
    <r>
      <rPr>
        <color rgb="FF1155CC"/>
        <u/>
      </rPr>
      <t>https://github.com/isaac-sim/IsaacLab/blob/main/source/isaaclab/isaaclab/envs/direct_rl_env.py</t>
    </r>
    <r>
      <rPr/>
      <t xml:space="preserve"> </t>
    </r>
  </si>
  <si>
    <t>class DirectRLEnv(gym.Env):
The superclass for the direct workflow to design environments.</t>
  </si>
  <si>
    <r>
      <rPr>
        <color rgb="FF1155CC"/>
        <u/>
      </rPr>
      <t>https://github.com/isaac-sim/IsaacLab/blob/main/source/isaaclab/isaaclab/envs/direct_rl_env.py</t>
    </r>
    <r>
      <rPr/>
      <t xml:space="preserve"> ;
</t>
    </r>
    <r>
      <rPr>
        <color rgb="FF1155CC"/>
        <u/>
      </rPr>
      <t>https://github.com/isaac-sim/IsaacLab/blob/main/source/isaaclab/isaaclab/managers/action_manager.py</t>
    </r>
    <r>
      <rPr/>
      <t xml:space="preserve"> ;
</t>
    </r>
    <r>
      <rPr>
        <color rgb="FF1155CC"/>
        <u/>
      </rPr>
      <t>https://github.com/isaac-sim/IsaacLab/blob/main/source/isaaclab/isaaclab/managers/observation_manager.py</t>
    </r>
    <r>
      <rPr/>
      <t xml:space="preserve"> ;
</t>
    </r>
    <r>
      <rPr>
        <color rgb="FF1155CC"/>
        <u/>
      </rPr>
      <t>https://github.com/isaac-sim/IsaacLab/blob/main/source/isaaclab/isaaclab/managers/reward_manager.py</t>
    </r>
    <r>
      <rPr/>
      <t xml:space="preserve"> </t>
    </r>
  </si>
  <si>
    <t>class DirectRLEnv(gym.Env):
The superclass for the direct workflow to design environments.
-----
Action Manager: The action manager that processes the raw actions sent to the environment and converts them to low-level commands that are sent to the simulation. It can be configured to accept raw actions at different levels of abstraction. For example, in case of a robotic arm, the raw actions can be joint torques, joint positions, or end-effector poses. Similarly for a mobile base, it can be  the joint torques, or the desired velocity of the floating base.
Observation Manager
Manager for computing observation signals for a given world.
Reward Manager
Manager for computing reward signals for a given world.</t>
  </si>
  <si>
    <r>
      <rPr>
        <color rgb="FF1155CC"/>
        <u/>
      </rPr>
      <t>https://github.com/isaac-sim/IsaacLab/blob/main/source/isaaclab/isaaclab/sim/simulation_cfg.py</t>
    </r>
    <r>
      <rPr/>
      <t xml:space="preserve"> </t>
    </r>
  </si>
  <si>
    <t>PhysX</t>
  </si>
  <si>
    <t>PhysX simulator</t>
  </si>
  <si>
    <r>
      <rPr>
        <color rgb="FF1155CC"/>
        <u/>
      </rPr>
      <t>https://github.com/isaac-sim/IsaacLab/blob/main/source/isaaclab/isaaclab/sim/simulation_context.py</t>
    </r>
    <r>
      <rPr/>
      <t xml:space="preserve"> ;
</t>
    </r>
    <r>
      <rPr>
        <color rgb="FF1155CC"/>
        <u/>
      </rPr>
      <t>https://github.com/isaac-sim/IsaacLab/blob/main/source/isaaclab/isaaclab/scene/interactive_scene.py</t>
    </r>
    <r>
      <rPr/>
      <t xml:space="preserve"> </t>
    </r>
  </si>
  <si>
    <t>class SimulationContext(_SimulationContext):
    """A class to control simulation-related events such as physics stepping and rendering.
    The simulation context helps control various simulation aspects. This includes:
    * configure the simulator with different settings such as the physics time-step, the number of physics substeps,
      and the physics solver parameters (for more information, see :class:`isaaclab.sim.SimulationCfg`)
    * playing, pausing, stepping and stopping the simulation
    * adding and removing callbacks to different simulation events such as physics stepping, rendering, etc.
    This class inherits from the :class:`isaacsim.core.api.simulation_context.SimulationContext` class and
    adds additional functionalities such as setting up the simulation context with a configuration object,
    exposing other commonly used simulator-related functions, and performing version checks of Isaac Sim
    to ensure compatibility between releases.
    The simulation context is a singleton object. This means that there can only be one instance
    of the simulation context at any given time. This is enforced by the parent class. Therefore, it is
    not possible to create multiple instances of the simulation context. Instead, the simulation context
    can be accessed using the ``instance()`` method.
-----
class InteractiveScene:
    """A scene that contains entities added to the simulation.
    The interactive scene parses the :class:`InteractiveSceneCfg` class to create the scene.
    Based on the specified number of environments, it clones the entities and groups them into different
    categories (e.g., articulations, sensors, etc.).</t>
  </si>
  <si>
    <t>- isaaclab.sim.SimulationContext:
(A class to control simulation-related events 
such as physics stepping and rendering.)
Lifecycle Controller
reset, step, pause/stop simulation;
- isaaclab.scene.InteractiveScene:
(A scene that contains entities added to the simulation, 
e.g.,  robots, objects, sensors)
 # set actions into simulator
self.scene.write_data_to_sim()
# update buffers at sim dt
self.scene.update(dt=self.physics_dt)
Trace Translator
write_data_to_sim(): Write 
low-level commands to simulation 
update(): read updated state 
from simulation</t>
  </si>
  <si>
    <r>
      <rPr>
        <color rgb="FF1155CC"/>
        <u/>
      </rPr>
      <t>https://isaac-sim.github.io/IsaacLab/main/source/tutorials/03_envs/create_direct_rl_env.html</t>
    </r>
    <r>
      <rPr/>
      <t xml:space="preserve"> ;
</t>
    </r>
    <r>
      <rPr>
        <color rgb="FF1155CC"/>
        <u/>
      </rPr>
      <t>https://github.com/isaac-sim/IsaacLab/blob/main/source/isaaclab/isaaclab/managers/curriculum_manager.py</t>
    </r>
    <r>
      <rPr/>
      <t xml:space="preserve"> </t>
    </r>
  </si>
  <si>
    <t>In Isaac Lab, the domain randomization configuration 
uses the configclass module to specify a configuration class 
consisting of EventTermCfg variables.
CurriculumManager:The curriculum manager updates various quantities of the environment subject to a training curriculum by calling a list of terms. 
These help stabilize learning by progressively making the learning tasks harder as the agent improves.</t>
  </si>
  <si>
    <t>Configs</t>
  </si>
  <si>
    <t>https://github.com/isaac-sim/IsaacLab/blob/main/source/isaaclab_contrib/isaaclab_contrib/sensors/tacsl_sensor/visuotactile_render.py ;
https://github.com/isaac-sim/IsaacLab/blob/main/source/isaaclab/isaaclab/envs/manager_based_rl_env.py</t>
  </si>
  <si>
    <t>class GelsightRender:
    """Class to handle GelSight rendering using the Taxim example-based approach from :cite:t:`si2022taxim`.
render(recompute: bool = False) → np.ndarray | None[source]
Run rendering without stepping through the physics.
By convention, if mode is:
human: Render to the current display and return nothing. Usually for human consumption.
rgb_array: Return a numpy.ndarray with shape (x, y, 3), representing RGB values for an x-by-y pixel image, suitable for turning into a video.</t>
  </si>
  <si>
    <r>
      <rPr>
        <color rgb="FF1155CC"/>
        <u/>
      </rPr>
      <t>https://github.com/isaac-sim/IsaacLab/blob/main/docs/source/how-to/record_video.rst</t>
    </r>
    <r>
      <rPr/>
      <t xml:space="preserve"> </t>
    </r>
  </si>
  <si>
    <t>Isaac Lab supports recording video clips during training using the gymnasium.wrappers.RecordVideo class.</t>
  </si>
  <si>
    <r>
      <rPr>
        <color rgb="FF1155CC"/>
        <u/>
      </rPr>
      <t>https://github.com/isaac-sim/IsaacLab/blob/main/source/isaaclab/isaaclab/managers/recorder_manager.py</t>
    </r>
    <r>
      <rPr/>
      <t xml:space="preserve"> </t>
    </r>
  </si>
  <si>
    <t>RecorderManager
The recorder manager that handles recording data produced during different steps in the simulation. This includes recording in the beginning and end of a reset and a step. The recorded data  is distinguished per episode, per environment and can be exported through a dataset file handler to a file.</t>
  </si>
  <si>
    <r>
      <rPr>
        <color rgb="FF1155CC"/>
        <u/>
      </rPr>
      <t>https://github.com/google-deepmind/dm_control/blob/main/dm_control/rl/control.py</t>
    </r>
    <r>
      <rPr/>
      <t xml:space="preserve"> ;
</t>
    </r>
    <r>
      <rPr>
        <color rgb="FF1155CC"/>
        <u/>
      </rPr>
      <t>https://github.com/google-deepmind/dm_env/blob/master/dm_env/_environment.py</t>
    </r>
    <r>
      <rPr/>
      <t xml:space="preserve">  ;
</t>
    </r>
    <r>
      <rPr>
        <color rgb="FF1155CC"/>
        <u/>
      </rPr>
      <t>https://github.com/google-deepmind/dm_control/blob/main/dm_control/composer/environment.py</t>
    </r>
    <r>
      <rPr/>
      <t xml:space="preserve"> </t>
    </r>
  </si>
  <si>
    <t>Environment
- rl/control.py (control suite tasks):
single task class with MJCF, physics, obs, reward, termination.
- composer/environment.py  (Locomotion/composer tasks)
reusable Entities (bodies, robots, props) with Observables; 
a Task orchestrates them.
class _CommonEnvironment:
Common components for RL environments.</t>
  </si>
  <si>
    <t xml:space="preserve">
</t>
  </si>
  <si>
    <r>
      <rPr>
        <color rgb="FF1155CC"/>
        <u/>
      </rPr>
      <t>https://github.com/google-deepmind/dm_control/blob/main/dm_control/rl/control.py</t>
    </r>
    <r>
      <rPr/>
      <t xml:space="preserve">  </t>
    </r>
  </si>
  <si>
    <t xml:space="preserve">class Environment(dm_env.Environment):
  """Class for physics-based reinforcement learning environments."""
</t>
  </si>
  <si>
    <t>Action: rl/control.py: inside step()
task.before_step(self, action, physics): 
Updates the task from the provided action.
Obs:rl/control.py: get_observation(self, physics): 
Returns an observation from the environment;
Reward:rl/control.py: get_reward(self, physics):
Returns a reward from the environment.</t>
  </si>
  <si>
    <r>
      <rPr>
        <color rgb="FF1155CC"/>
        <u/>
      </rPr>
      <t>https://github.com/google-deepmind/dm_control/tree/3e48d13386cd225d647f0241300e8a224805adbb</t>
    </r>
    <r>
      <rPr/>
      <t xml:space="preserve"> </t>
    </r>
  </si>
  <si>
    <t>Google DeepMind's software stack for physics-based simulation and Reinforcement Learning environments, using MuJoCo physics.</t>
  </si>
  <si>
    <t>Engine: Mujoco</t>
  </si>
  <si>
    <t>Mujoco</t>
  </si>
  <si>
    <r>
      <rPr>
        <color rgb="FF1155CC"/>
        <u/>
      </rPr>
      <t>https://github.com/google-deepmind/dm_control/blob/main/dm_control/mujoco/wrapper/core.py</t>
    </r>
    <r>
      <rPr/>
      <t xml:space="preserve"> ;
</t>
    </r>
    <r>
      <rPr>
        <color rgb="FF1155CC"/>
        <u/>
      </rPr>
      <t>https://github.com/google-deepmind/dm_control/blob/main/dm_control/rl/control.py</t>
    </r>
    <r>
      <rPr/>
      <t xml:space="preserve"> ;
</t>
    </r>
    <r>
      <rPr>
        <color rgb="FF1155CC"/>
        <u/>
      </rPr>
      <t>https://github.com/google-deepmind/dm_control/tree/main/dm_control/mjcf</t>
    </r>
    <r>
      <rPr/>
      <t xml:space="preserve"> </t>
    </r>
  </si>
  <si>
    <t>"""Main user-facing classes and utility functions for loading MuJoCo models."""
class _MjModelMeta(type):
  """Metaclass which allows MjModel below to delegate to mujoco.MjModel."""
class Physics(metaclass=abc.ABCMeta):
  """Simulates a physical environment."""
provides a Python object model for MuJoCo's XML-based MJCF physics modeling language. The goal of the library is to allow users to easily interact with and modify MJCF models in Python, similarly to what the JavaScript DOM does for HTML.</t>
  </si>
  <si>
    <t>Python bindings to MuJoCo, seperate logic in Env, not module</t>
  </si>
  <si>
    <t xml:space="preserve">https://github.com/google-deepmind/dm_control/tree/main/dm_control/viewer </t>
  </si>
  <si>
    <t>viewer/: viewer.launch(env) 
Viewport displaying the contents of a physics world.</t>
  </si>
  <si>
    <t>[real time, not record]
 (interactive viewer only)</t>
  </si>
  <si>
    <r>
      <rPr>
        <color rgb="FF1155CC"/>
        <u/>
      </rPr>
      <t>https://github.com/google-deepmind/dm_control/blob/main/dm_control/viewer/util.py</t>
    </r>
    <r>
      <rPr/>
      <t xml:space="preserve"> </t>
    </r>
  </si>
  <si>
    <t>class ErrorLogger:
A context manager that catches and logs all errors.
logging.info('The current episode has been running for %d steps.',
                   self._episode_step_count)</t>
  </si>
  <si>
    <r>
      <rPr>
        <color rgb="FF1155CC"/>
        <u/>
      </rPr>
      <t>https://github.com/google-deepmind/dm_env/blob/master/dm_env/_environment.py</t>
    </r>
    <r>
      <rPr/>
      <t xml:space="preserve"> </t>
    </r>
  </si>
  <si>
    <t>"""Python RL Environment API."""
class Environment(metaclass=abc.ABCMeta):
  """Abstract base class for Python RL environments.
  Observations and valid actions are described with `Array` specs, defined in
  the `specs` module.</t>
  </si>
  <si>
    <r>
      <rPr>
        <color rgb="FF1155CC"/>
        <u/>
      </rPr>
      <t>https://github.com/google-deepmind/lab/blob/master/python/dmenv_module.py</t>
    </r>
    <r>
      <rPr/>
      <t xml:space="preserve"> </t>
    </r>
  </si>
  <si>
    <t>class Lab(dm_env.Environment):
  """Implements dm_env.Environent; forwards calls to deepmind_lab."""</t>
  </si>
  <si>
    <t>action, observation, reward
inside step(self, action)
api:reward()</t>
  </si>
  <si>
    <r>
      <rPr>
        <color rgb="FF1155CC"/>
        <u/>
      </rPr>
      <t>https://github.com/google-deepmind/lab</t>
    </r>
    <r>
      <rPr/>
      <t xml:space="preserve"> </t>
    </r>
  </si>
  <si>
    <t>DeepMind Lab is built from the ioquake3 game engine, and it uses the tools q3map2 and bspc for map creation.</t>
  </si>
  <si>
    <t>Engine: ioquake3 (First-person 3D game engine)</t>
  </si>
  <si>
    <t>ioquake3</t>
  </si>
  <si>
    <r>
      <rPr>
        <color rgb="FF1155CC"/>
        <u/>
      </rPr>
      <t>https://github.com/google-deepmind/lab/blob/master/python/dmlab_module.c</t>
    </r>
    <r>
      <rPr/>
      <t xml:space="preserve"> 
</t>
    </r>
    <r>
      <rPr>
        <color rgb="FF1155CC"/>
        <u/>
      </rPr>
      <t>https://github.com/google-deepmind/lab/blob/master/public/dmlab.h</t>
    </r>
    <r>
      <rPr/>
      <t xml:space="preserve"> 
</t>
    </r>
    <r>
      <rPr>
        <color rgb="FF1155CC"/>
        <u/>
      </rPr>
      <t>https://github.com/google-deepmind/lab/blob/master/deepmind/engine/context.cc</t>
    </r>
    <r>
      <rPr/>
      <t xml:space="preserve"> </t>
    </r>
  </si>
  <si>
    <t>// Python wrapper module for exposing the DeepMind Lab environment.
// The RL Environment API entry point.
static int start(void* userdata, int episode, int seed) {
  return static_cast&lt;Context*&gt;(userdata)-&gt;Start(episode, seed);
}
.....
static void update_inventory(void* userdata, bool is_spawning, bool is_bot,
                             int player_id, int gadget_count,
                             int gadget_inventory[], int persistent_count,
                             int persistents[], int stat_count,
                             int stat_inventory[], int powerup_count,
                             int powerup_time[], int gadget_held, float height,
                             float position[3], float velocity[3],
                             float view_angles[3]) {
  static_cast&lt;Context*&gt;(userdata)-&gt;UpdateInventory(
      is_spawning, is_bot, player_id, gadget_count, gadget_inventory,
      persistent_count, persistents, stat_count, stat_inventory, powerup_count,
      powerup_time, gadget_held, height, position, velocity, view_angles);
}
static int game_type(void* userdata) {
  return static_cast&lt;Context*&gt;(userdata)-&gt;GameType();
}
static char team_select(void* userdata, int player_id,
                        const char* player_name) {
  return static_cast&lt;Context*&gt;(userdata)-&gt;TeamSelect(player_id, player_name);
}</t>
  </si>
  <si>
    <t>python/dmlab_module.c: wraps C API for Python, provides Python 
deepmind_lab.Lab class
-----
public/dmlab.h:  defines C API interface, connects Python to C++
dmlab_connect: Starts an instance of DeepMind Lab and exports 
the single-player RL Environment API to *env_c_api.
public/dmlab_connect.cc (implementation)
-----
engine/context.cc: C++ &lt;-&gt; Lua adapter
(game logic is in Lua scripts; game engine is C++)</t>
  </si>
  <si>
    <r>
      <rPr>
        <color rgb="FF1155CC"/>
        <u/>
      </rPr>
      <t>https://github.com/google-deepmind/lab/blob/master/engine/code/deepmind/dmlab_connect.c</t>
    </r>
    <r>
      <rPr/>
      <t xml:space="preserve"> ;
</t>
    </r>
    <r>
      <rPr>
        <color rgb="FF1155CC"/>
        <u/>
      </rPr>
      <t>https://github.com/google-deepmind/lab/blob/master/public/dmlab.h</t>
    </r>
    <r>
      <rPr/>
      <t xml:space="preserve"> </t>
    </r>
  </si>
  <si>
    <t>static void dmlab_render_custom_view(
    int width, int height, unsigned char* buffer) {
  re.MakeCurrent();
  DeepmindContext* ctx = dmlab_context();
  GameContext* gc = ctx-&gt;context;
  SCR_RenderCustomView();
-----
DeepMindLabRenderer renderer;</t>
  </si>
  <si>
    <r>
      <rPr>
        <color rgb="FF1155CC"/>
        <u/>
      </rPr>
      <t>https://github.com/google-deepmind/lab/blob/master/engine/code/deepmind/dmlab_recording.h</t>
    </r>
    <r>
      <rPr/>
      <t xml:space="preserve"> ;
</t>
    </r>
    <r>
      <rPr>
        <color rgb="FF1155CC"/>
        <u/>
      </rPr>
      <t>https://github.com/google-deepmind/lab/blob/master/engine/code/deepmind/dmlab_recording.c</t>
    </r>
    <r>
      <rPr/>
      <t xml:space="preserve"> </t>
    </r>
  </si>
  <si>
    <t>Begin recording ..``stores videos"</t>
  </si>
  <si>
    <r>
      <rPr>
        <color rgb="FF1155CC"/>
        <u/>
      </rPr>
      <t>https://github.com/google-deepmind/lab/blob/master/game_scripts/common/log.lua</t>
    </r>
    <r>
      <rPr/>
      <t xml:space="preserve"> </t>
    </r>
  </si>
  <si>
    <t>game_scripts/common/log.lua
A library for logging.
This library provides facilities to emit log messages, each of which is configured with a log level that measures its verbosity. There are three built-in levels ERROR, WARN, INFO. The log level may also be any positive integer.</t>
  </si>
  <si>
    <r>
      <rPr>
        <rFont val="Arial"/>
        <color rgb="FF1155CC"/>
        <u/>
      </rPr>
      <t>https://github.com/Farama-Foundation/Arcade-Learning-Environment/blob/master/src/ale/python/env.py</t>
    </r>
    <r>
      <rPr>
        <rFont val="Arial"/>
      </rPr>
      <t xml:space="preserve"> </t>
    </r>
  </si>
  <si>
    <t>class AtariEnv(gymnasium.Env, utils.EzPickle):
    """Gymnasium wrapper around the Arcade Learning Environment (ALE)."""</t>
  </si>
  <si>
    <r>
      <rPr>
        <rFont val="Arial"/>
        <color rgb="FF1155CC"/>
        <u/>
      </rPr>
      <t>https://github.com/Farama-Foundation/Arcade-Learning-Environment/blob/master/src/ale/python/env.py</t>
    </r>
    <r>
      <rPr>
        <rFont val="Arial"/>
      </rPr>
      <t xml:space="preserve"> </t>
    </r>
  </si>
  <si>
    <t>action, obs, reward: in step()
reward += self.ale.act(action_idx, strength)</t>
  </si>
  <si>
    <r>
      <rPr>
        <rFont val="Arial"/>
        <color rgb="FF1155CC"/>
        <u/>
      </rPr>
      <t>https://github.com/Farama-Foundation/Arcade-Learning-Environment/tree/master</t>
    </r>
    <r>
      <rPr>
        <rFont val="Arial"/>
      </rPr>
      <t xml:space="preserve"> </t>
    </r>
  </si>
  <si>
    <t>Stella Atari 2600 Emulator
src/emucore/ and src/common/
It is built on top of the Atari 2600 emulator Stella and separates the details of emulation from agent design.</t>
  </si>
  <si>
    <t>Stella Atari 2600 Emulator</t>
  </si>
  <si>
    <t xml:space="preserve">https://github.com/Farama-Foundation/Arcade-Learning-Environment/blob/master/src/ale/ale_interface.hpp </t>
  </si>
  <si>
    <t>/**
   This class interfaces ALE with external code for controlling agents.
 */
class ALEInterface {
.....
// Set byte at memory address. This can be useful to change the environment
  // for example if you were trying to learn a causal model of RAM locations.
  void setRAM(size_t memory_index, byte_t value);
  // This makes a copy of the environment state. By defualt this copy does *not* include pseudorandomness
  // making it suitable for planning purposes. If `include_prng` is set to true, then the
  // pseudorandom number generator is also serialized.
  ALEState cloneState(bool include_rng = false);
  // Reverse operation of cloneState(). This will restore the ALEState, if it was
  // cloned including the RNG then the RNG will be restored. Otherwise the current
  // state of the RNG will be kept as is.
  void restoreState(const ALEState&amp; state);
  // This makes a copy of the system &amp; environment state, suitable for serialization. This includes
  // pseudorandomness and so is *not* suitable for planning purposes.
  // This is equivalent to calling cloneState(true) but is maintained for backwards compatibility.
  ALEState cloneSystemState();</t>
  </si>
  <si>
    <t>ALEInterface + Python binding
ROM loading and initialization; 
Action translation (high-level -&gt; Stella controls); 
Observation extraction (Stella -&gt; structured format); 
Score/reward parsing from emulator state; 
Episode boundary detection
pybind11 binding (exposes C++ types in Python and vice versa, 
mainly to create Python bindings of existing C++ code)</t>
  </si>
  <si>
    <r>
      <rPr>
        <color rgb="FF1155CC"/>
        <u/>
      </rPr>
      <t>https://github.com/Farama-Foundation/Arcade-Learning-Environment/blob/master/src/ale/ale_interface.hpp</t>
    </r>
    <r>
      <rPr/>
      <t xml:space="preserve"> </t>
    </r>
  </si>
  <si>
    <t>DifficultyVect getAvailableDifficulties() const;
void setDifficulty(difficulty_t m);
difficulty_t getDifficulty() 
ModeVect getAvailableModes() const;
void setMode(game_mode_t m);
game_mode_t getMode()</t>
  </si>
  <si>
    <t>some function set up difficult levels, for curriculum learning, configs, save and load enviornment pararm</t>
  </si>
  <si>
    <r>
      <rPr>
        <color rgb="FF1155CC"/>
        <u/>
      </rPr>
      <t>https://github.com/Farama-Foundation/Arcade-Learning-Environment/blob/master/src/ale/python/env.py</t>
    </r>
    <r>
      <rPr/>
      <t xml:space="preserve"> </t>
    </r>
  </si>
  <si>
    <t>def render(self) -&gt; np.ndarray | None:
        """Renders the ALE with `rgb_array` and `human` options."""
        if self.render_mode == "rgb_array":
            return self.ale.getScreenRGB()
        elif self.render_mode == "human":
            return
        else:
            raise error.Error(
                f"Invalid render mode `{self.render_mode}`. "
                "Supported modes: `human`, `rgb_array`."
            )</t>
  </si>
  <si>
    <r>
      <rPr>
        <color rgb="FF1155CC"/>
        <u/>
      </rPr>
      <t>https://github.com/Farama-Foundation/Arcade-Learning-Environment/blob/master/docs/visualization.md?plain=1</t>
    </r>
    <r>
      <rPr/>
      <t xml:space="preserve"> ;
</t>
    </r>
    <r>
      <rPr>
        <color rgb="FF1155CC"/>
        <u/>
      </rPr>
      <t>https://github.com/Farama-Foundation/Arcade-Learning-Environment/blob/master/src/ale/emucore/Sound.hxx</t>
    </r>
    <r>
      <rPr/>
      <t xml:space="preserve"> ;
</t>
    </r>
    <r>
      <rPr>
        <color rgb="FF1155CC"/>
        <u/>
      </rPr>
      <t>https://github.com/Farama-Foundation/Arcade-Learning-Environment/blob/master/src/ale/python/env.py</t>
    </r>
    <r>
      <rPr/>
      <t xml:space="preserve"> </t>
    </r>
  </si>
  <si>
    <t>ALE now provides support for recording frames; if sound is enabled, it is also possible to record audio output. An example Python program is provided which will record both visual and audio output for a single episode of play.
-----
virtual void recordNextFrame()
-----
screen_obs = ale.getScreenRGB()</t>
  </si>
  <si>
    <t>https://github.com/Farama-Foundation/Arcade-Learning-Environment/blob/master/src/ale/common/Log.cpp</t>
  </si>
  <si>
    <t>#include "ale/common/Log.hpp"
#include &lt;iostream&gt;
namespace ale {
Logger::mode Logger::current_mode = Info;
void Logger::setMode(Logger::mode m) { current_mode = m; }
Logger::mode operator&lt;&lt;(Logger::mode log, std::ostream&amp; (*manip)(std::ostream&amp;)) {
  if (log &gt;= Logger::current_mode) {
    manip(std::cerr);
  }
  return log;
}
}  // namespace ale
..... {
    ale::Logger::Error &lt;&lt; msg &lt;&lt; std::endl;
    return false;
  {
    ale::Logger::Error &lt;&lt; "Unknown error in save state for " &lt;&lt; cart &lt;&lt; std::endl;
    return false;</t>
  </si>
  <si>
    <t xml:space="preserve">https://github.com/instadeepai/jumanji/blob/main/jumanji/env.py </t>
  </si>
  <si>
    <t>class Environment(abc.ABC, Generic[State, ActionSpec, Observation]):
    """Environment written in Jax that differs from the gym API to make the step and
    reset functions jittable. The state contains all the dynamics and data needed to step
    the environment, no computation stored in attributes of self.
    The API is inspired by [brax](https://github.com/google/brax/blob/main/brax/envs/env.py).
    """</t>
  </si>
  <si>
    <r>
      <rPr>
        <color rgb="FF1155CC"/>
        <u/>
      </rPr>
      <t>https://github.com/instadeepai/jumanji/blob/main/jumanji/env.py</t>
    </r>
    <r>
      <rPr/>
      <t xml:space="preserve"> ;
</t>
    </r>
    <r>
      <rPr>
        <color rgb="FF1155CC"/>
        <u/>
      </rPr>
      <t>https://github.com/instadeepai/jumanji/tree/main/jumanji/environments</t>
    </r>
    <r>
      <rPr/>
      <t xml:space="preserve"> </t>
    </r>
  </si>
  <si>
    <t>list of environment implementations in environments/ folder</t>
  </si>
  <si>
    <r>
      <rPr>
        <color rgb="FF1155CC"/>
        <u/>
      </rPr>
      <t>https://github.com/instadeepai/jumanji/blob/main/jumanji/environments/routing/connector/generator/base.py</t>
    </r>
    <r>
      <rPr/>
      <t xml:space="preserve"> </t>
    </r>
  </si>
  <si>
    <t>e.g., self.generator = generator or RandomGenerator(num_rows=10, num_cols=10, num_agents=3)</t>
  </si>
  <si>
    <t>build-in generator</t>
  </si>
  <si>
    <r>
      <rPr>
        <color rgb="FF1155CC"/>
        <u/>
      </rPr>
      <t>https://github.com/instadeepai/jumanji/blob/main/jumanji/training/loggers.py</t>
    </r>
    <r>
      <rPr/>
      <t xml:space="preserve"> </t>
    </r>
  </si>
  <si>
    <t>class Logger(AbstractContextManager)
write, close, upload_checkpoint(self) -&gt; None:
        """Uploads a checkpoint when exiting the logger.
_save_and_upload_checkpoint(self) -&gt; None:
        """Grabs the `training_state` variable from within the context manager, pickles it and
        saves it. This will break if the desired variable to checkpoint is not called
        `training_state`.</t>
  </si>
  <si>
    <r>
      <rPr>
        <color rgb="FF1155CC"/>
        <u/>
      </rPr>
      <t>https://github.com/instadeepai/jumanji/blob/main/jumanji/env.py</t>
    </r>
    <r>
      <rPr/>
      <t xml:space="preserve"> ;
</t>
    </r>
    <r>
      <rPr>
        <color rgb="FF1155CC"/>
        <u/>
      </rPr>
      <t>https://github.com/instadeepai/jumanji/blob/main/jumanji/viewer.py</t>
    </r>
    <r>
      <rPr/>
      <t xml:space="preserve"> </t>
    </r>
  </si>
  <si>
    <t>env.render(state)
----
class Viewer(abc.ABC, Generic[State]):
    """Abstract viewer class to support rendering and animation. This interface assumes
    that matplotlib is used for rendering the environment in question.
    """
def render(self, state: State, save_path: Optional[str] = None) -&gt; Optional[NDArray]:
        """Render frames of the environment for a given state using matplotlib.
def animate(
        self,
        states: Sequence[State],
        interval: int,
        save_path: Optional[str] = None,
    ) -&gt; animation.FuncAnimation:
        """Create an animation from a sequence of environment states.
from jumanji.viewer import MatplotlibViewer</t>
  </si>
  <si>
    <r>
      <rPr>
        <color rgb="FF1155CC"/>
        <u/>
      </rPr>
      <t>https://github.com/instadeepai/jumanji/blob/main/jumanji/training/loggers.py</t>
    </r>
    <r>
      <rPr/>
      <t xml:space="preserve"> </t>
    </r>
  </si>
  <si>
    <t>class Logger(AbstractContextManager)
write, close, upload_checkpoint(self) -&gt; None:
        """Uploads a checkpoint when exiting the logger.
_save_and_upload_checkpoint(self) -&gt; None:
        """Grabs the `training_state` variable from within the context manager, pickles it and
        saves it. This will break if the desired variable to checkpoint is not called
        `training_state`.
class ListLogger(Logger):
    """Logs to a dictionary of histories as lists."""</t>
  </si>
  <si>
    <r>
      <rPr>
        <color rgb="FF1155CC"/>
        <u/>
      </rPr>
      <t>https://github.com/DLR-RM/stable-baselines3/blob/master/stable_baselines3/common/base_class.py</t>
    </r>
    <r>
      <rPr/>
      <t xml:space="preserve"> </t>
    </r>
  </si>
  <si>
    <t xml:space="preserve">BaseAlgorithm
</t>
  </si>
  <si>
    <t>-set logger, env, models,
-setup_learn
-update info buffer:
Retrieve reward, episode length, episode success and update the buffer
- learn(): Return a trained model.
-predict(): Get the policy action from an observation (and optional hidden state).
-load/save model
-----
for example, --user entrance: 
model = DQN("MlpPolicy", env, verbose=1)</t>
  </si>
  <si>
    <r>
      <rPr>
        <color rgb="FF1155CC"/>
        <u/>
      </rPr>
      <t>https://github.com/DLR-RM/stable-baselines3/blob/master/stable_baselines3/common/base_class.py</t>
    </r>
    <r>
      <rPr/>
      <t xml:space="preserve"> </t>
    </r>
  </si>
  <si>
    <r>
      <rPr>
        <color rgb="FF1155CC"/>
        <u/>
      </rPr>
      <t>https://github.com/DLR-RM/stable-baselines3/blob/master/stable_baselines3/common/base_class.py</t>
    </r>
    <r>
      <rPr/>
      <t xml:space="preserve"> ;
 </t>
    </r>
    <r>
      <rPr>
        <color rgb="FF1155CC"/>
        <u/>
      </rPr>
      <t>https://github.com/DLR-RM/stable-baselines3/blob/master/stable_baselines3/sac/sac.py</t>
    </r>
    <r>
      <rPr/>
      <t xml:space="preserve"> </t>
    </r>
  </si>
  <si>
    <t>class BaseAlgorithm(ABC)
learn()</t>
  </si>
  <si>
    <t xml:space="preserve">in Algorithm learn(): orchestrate
callback.on_training_start
-&gt; collect data
(in collect_rollout call env.step())
 -&gt;
train(learner update)
---&gt;end
</t>
  </si>
  <si>
    <t xml:space="preserve">https://github.com/DLR-RM/stable-baselines3/blob/master/stable_baselines3/sac/sac.py </t>
  </si>
  <si>
    <t xml:space="preserve">SAC Agent
</t>
  </si>
  <si>
    <t>In Algorithm, many, for example: 
.....
# Instantiate the agent
model = DQN("MlpPolicy", env, verbose=1)
DQN is Agent</t>
  </si>
  <si>
    <r>
      <rPr>
        <color rgb="FF1155CC"/>
        <u/>
      </rPr>
      <t>https://github.com/DLR-RM/stable-baselines3/blob/master/stable_baselines3/common/policies.py</t>
    </r>
    <r>
      <rPr/>
      <t xml:space="preserve"> </t>
    </r>
  </si>
  <si>
    <t>stable_baselines3/common/policies.py
class BaseModel(nn.Module):
The base model object: makes predictions in response to observations.
In the case of policies, the prediction is an action. In the case of critics, it is the
estimated value of the observation.</t>
  </si>
  <si>
    <r>
      <rPr>
        <color rgb="FF1155CC"/>
        <u/>
      </rPr>
      <t>https://github.com/DLR-RM/stable-baselines3/blob/master/stable_baselines3/common/buffers.py</t>
    </r>
    <r>
      <rPr/>
      <t xml:space="preserve"> </t>
    </r>
  </si>
  <si>
    <t>stable_baselines3/common/buffers.py
class BaseBuffer(ABC):
Base class that represent a buffer</t>
  </si>
  <si>
    <t>Base class that represent a buffer (rollout or replay)</t>
  </si>
  <si>
    <t xml:space="preserve">https://github.com/DLR-RM/stable-baselines3/blob/master/stable_baselines3/common/on_policy_algorithm.py </t>
  </si>
  <si>
    <t>def train(self) -&gt; None:
Consume current rollout data and update policy parameters.</t>
  </si>
  <si>
    <t>Implemented by individual algorithms.
inside algorithm (agent) not seperate module, but function</t>
  </si>
  <si>
    <r>
      <rPr>
        <color rgb="FF1155CC"/>
        <u/>
      </rPr>
      <t>https://github.com/DLR-RM/stable-baselines3/blob/master/stable_baselines3/common/callbacks.py</t>
    </r>
    <r>
      <rPr/>
      <t xml:space="preserve"> </t>
    </r>
  </si>
  <si>
    <t>stable_baselines3/common/callbacks.py
class CheckpointCallback(BaseCallback):
    """
    Callback for saving a model every ``save_freq`` calls
    to ``env.step()``.
    By default, it only saves model checkpoints,
    you need to pass ``save_replay_buffer=True``,
    and ``save_vecnormalize=True`` to also save replay buffer checkpoints
    and normalization statistics checkpoints.</t>
  </si>
  <si>
    <r>
      <rPr>
        <color rgb="FF1155CC"/>
        <u/>
      </rPr>
      <t>https://github.com/DLR-RM/stable-baselines3/blob/master/stable_baselines3/common/vec_env/vec_video_recorder.py</t>
    </r>
    <r>
      <rPr/>
      <t xml:space="preserve"> </t>
    </r>
  </si>
  <si>
    <t>stable_baselines3/common/vec_env/vec_video_recorder.py
class VecVideoRecorder(VecEnvWrapper):
Wraps a VecEnv or VecEnvWrapper object to record rendered image as mp4 video.
    It requires ffmpeg or avconv to be installed on the machine.</t>
  </si>
  <si>
    <r>
      <rPr>
        <color rgb="FF1155CC"/>
        <u/>
      </rPr>
      <t>https://github.com/DLR-RM/stable-baselines3/blob/master/stable_baselines3/common/monitor.py</t>
    </r>
    <r>
      <rPr/>
      <t xml:space="preserve"> ; 
</t>
    </r>
    <r>
      <rPr>
        <color rgb="FF1155CC"/>
        <u/>
      </rPr>
      <t>https://github.com/DLR-RM/stable-baselines3/blob/master/stable_baselines3/common/logger.py</t>
    </r>
    <r>
      <rPr/>
      <t xml:space="preserve"> </t>
    </r>
  </si>
  <si>
    <t>common/monitor.py: Monitor 
(A monitor wrapper for Gym environments. it is used to know 
the episode reward, length, time and other data.)
-----
stable_baselines3/common/logger.py
class Logger:
The logger class.</t>
  </si>
  <si>
    <r>
      <rPr>
        <color rgb="FF1155CC"/>
        <u/>
      </rPr>
      <t>https://github.com/DLR-RM/stable-baselines3/blob/master/stable_baselines3/common/logger.py</t>
    </r>
    <r>
      <rPr/>
      <t xml:space="preserve"> ; 
</t>
    </r>
    <r>
      <rPr>
        <color rgb="FF1155CC"/>
        <u/>
      </rPr>
      <t>https://github.com/DLR-RM/stable-baselines3/blob/master/stable_baselines3/common/results_plotter.py</t>
    </r>
    <r>
      <rPr/>
      <t xml:space="preserve"> </t>
    </r>
  </si>
  <si>
    <t>stable_baselines3/common/logger.py
class HumanOutputFormat(KVWriter, SeqWriter):
    """A human-readable output format producing ASCII tables of key-value pairs.
    Set attribute ``max_length`` to change the maximum length of keys and values
    to write to output (or specify it when calling ``__init__``).
(json, csv tensorboard..)
self.writer.add_histogram(key, th.as_tensor(value), step)
            if isinstance(value, Video):
                self.writer.add_video(key, value.frames, step, value.fps)
-----
stable_baselines3/common/results_plotter.py
def plot_results/ plot_curves</t>
  </si>
  <si>
    <t xml:space="preserve">https://github.com/DLR-RM/rl-baselines3-zoo/blob/master/rl_zoo3/train.py  </t>
  </si>
  <si>
    <t>rl_zoo3/train.py
train(): initialize experiment manager
# Prepare experiment and launch hyperparameter optimization if needed
    results = exp_manager.setup_experiment()
    if results is not None:
        model, saved_hyperparams = results
        if args.track:
            # we need to save the loaded hyperparameters
            args.saved_hyperparams = saved_hyperparams
            assert run is not None  # make mypy happy
            run.config.setdefaults(vars(args))
        # Normal training
        if model is not None:
            exp_manager.learn(model)
            exp_manager.save_trained_model(model)
    else:
        exp_manager.hyperparameters_optimization()</t>
  </si>
  <si>
    <r>
      <rPr>
        <color rgb="FF1155CC"/>
        <u/>
      </rPr>
      <t>https://github.com/DLR-RM/rl-baselines3-zoo/blob/master/rl_zoo3/exp_manager.py</t>
    </r>
    <r>
      <rPr/>
      <t xml:space="preserve"> </t>
    </r>
  </si>
  <si>
    <t>rl_zoo3/exp_manager.py
class ExperimentManager:
Experiment manager: read the hyperparameters,
preprocess them, create the environment and the RL model.
def setup_experiment(self) -&gt; tuple[BaseAlgorithm, dict[str, Any]] | None:
Read hyperparameters, pre-process them (create schedules, wrappers, callbacks, action noise objects)
create the environment and possibly the model.
learn: -&gt; model.learn(self.n_timesteps, **kwargs)</t>
  </si>
  <si>
    <t xml:space="preserve">
save/load</t>
  </si>
  <si>
    <r>
      <rPr>
        <color rgb="FF1155CC"/>
        <u/>
      </rPr>
      <t>https://github.com/DLR-RM/rl-baselines3-zoo/blob/master/rl_zoo3/exp_manager.py</t>
    </r>
    <r>
      <rPr/>
      <t xml:space="preserve"> ;
</t>
    </r>
    <r>
      <rPr>
        <color rgb="FF1155CC"/>
        <u/>
      </rPr>
      <t>https://github.com/DLR-RM/rl-baselines3-zoo/blob/master/rl_zoo3/hyperparams_opt.py</t>
    </r>
    <r>
      <rPr/>
      <t xml:space="preserve"> </t>
    </r>
  </si>
  <si>
    <t>import optuna
rl_zoo3/hyperparams_opt.py
sample hyperparam,
(study = optuna.create_study(
            sampler=sampler,
            pruner=pruner,
            storage=storage,
            study_name=self.study_name,
            load_if_exists=True,
            direction="maximize",
        ))</t>
  </si>
  <si>
    <t>Optuna</t>
  </si>
  <si>
    <t xml:space="preserve">https://github.com/DLR-RM/rl-baselines3-zoo/blob/master/rl_zoo3/train.py </t>
  </si>
  <si>
    <t>import stable_baselines3 as sb3</t>
  </si>
  <si>
    <t>Stable Baseline3</t>
  </si>
  <si>
    <r>
      <rPr>
        <color rgb="FF1155CC"/>
        <u/>
      </rPr>
      <t>https://github.com/DLR-RM/rl-baselines3-zoo/blob/master/rl_zoo3/utils.py</t>
    </r>
    <r>
      <rPr/>
      <t xml:space="preserve"> </t>
    </r>
  </si>
  <si>
    <t>rl_zoo3/utils.py
  """
    Imports and returns a class given the name, e.g. passing
    'stable_baselines3.common.callbacks.CheckpointCallback' returns the
    CheckpointCallback class.
save/load
def get_model_path
def get_model_path(
    exp_id: int,
    folder: str,
    algo: str,
    env_name: EnvironmentName,
    load_best: bool = False,
    load_checkpoint: str | None = None,
    load_last_checkpoint: bool = False,
)</t>
  </si>
  <si>
    <r>
      <rPr>
        <color rgb="FF1155CC"/>
        <u/>
      </rPr>
      <t>https://github.com/DLR-RM/rl-baselines3-zoo/blob/master/rl_zoo3/record_training.py</t>
    </r>
    <r>
      <rPr/>
      <t xml:space="preserve"> ;
</t>
    </r>
    <r>
      <rPr>
        <color rgb="FF1155CC"/>
        <u/>
      </rPr>
      <t>https://github.com/DLR-RM/rl-baselines3-zoo/blob/master/rl_zoo3/record_video.py</t>
    </r>
    <r>
      <rPr/>
      <t xml:space="preserve">  </t>
    </r>
  </si>
  <si>
    <t xml:space="preserve">  with open(ffmpeg_text_file, "a") as file:
        for video_path in tmp_videos_path:
            file.write(f"file {video_path}\n")
    final_video_path = os.path.abspath(os.path.join(video_folder, "training.mp4"))
-----
env = VecVideoRecorder(
        env,
        video_folder,
        record_video_trigger=lambda x: x == 0,
        video_length=video_length,
        name_prefix=name_prefix,
    )</t>
  </si>
  <si>
    <r>
      <rPr>
        <color rgb="FF1155CC"/>
        <u/>
      </rPr>
      <t>https://github.com/DLR-RM/rl-baselines3-zoo/blob/master/rl_zoo3/callbacks.py</t>
    </r>
    <r>
      <rPr/>
      <t xml:space="preserve"> </t>
    </r>
  </si>
  <si>
    <t>rl_zoo3/callbacks.py
from stable_baselines3.common.logger import TensorBoardOutputFormat
Support tracking raw episodic stats via `RawStatisticsCallback`</t>
  </si>
  <si>
    <r>
      <rPr>
        <color rgb="FF1155CC"/>
        <u/>
      </rPr>
      <t>https://github.com/DLR-RM/rl-baselines3-zoo/tree/master/rl_zoo3/plots</t>
    </r>
    <r>
      <rPr/>
      <t xml:space="preserve"> </t>
    </r>
  </si>
  <si>
    <t>.....
    if args.output is not None:
        print(f"Saving to {args.output}.pkl")
        with open(f"{args.output}.pkl", "wb") as file_handler:
            pickle.dump(post_processed_results, file_handler)
    if not args.no_display:
        plt.show()
if __name__ == "__main__":
    all_plots()</t>
  </si>
  <si>
    <t>scripts for plotting</t>
  </si>
  <si>
    <r>
      <rPr>
        <color rgb="FF1155CC"/>
        <u/>
      </rPr>
      <t>https://github.com/ray-project/ray/blob/master/rllib/algorithms/algorithm.py</t>
    </r>
    <r>
      <rPr/>
      <t xml:space="preserve"> </t>
    </r>
  </si>
  <si>
    <t>class Algorithm(Checkpointable, Trainable):
    """An RLlib algorithm responsible for training one or more neural network models.
The most important API methods an Algorithm exposes are `train()` for running a
single training iteration, `evaluate()` for running a single round of evaluation,
`save_to_path()` for creating a checkpoint, and `restore_from_path()` for loading a
state from an existing checkpoint.
You manage RLlib experiments through an instance of the Algorithm class. An Algorithm typically holds a neural network for computing actions, called policy, the RL environment that you want to optimize against, a loss function, an optimizer, and some code describing the algorithm’s execution logic, like determining when to collect samples, when to update your model, etc..</t>
  </si>
  <si>
    <t>manage RLlib experiments through an instance of the Algorithm class, share class with Framework Orchestrator, mix responsibilities</t>
  </si>
  <si>
    <r>
      <rPr>
        <color rgb="FF1155CC"/>
        <u/>
      </rPr>
      <t>https://github.com/ray-project/ray/blob/master/python/ray/tune/tuner.py</t>
    </r>
    <r>
      <rPr/>
      <t xml:space="preserve"> </t>
    </r>
  </si>
  <si>
    <t>class Tuner:
    """Tuner is the recommended way of launching hyperparameter tuning jobs with Ray Tune.
tune.Tuner(
    config.algo_class,
    param_space=config,
    # Specify a stopping criterion. Note that the criterion has to match one of the
    # pretty printed result metrics from the results returned previously by
    # ``.train()``. Also note that -1100 is not a good episode return for
    # Pendulum-v1, we are using it here to shorten the experiment time.
    run_config=tune.RunConfig(
        stop={"env_runners/episode_return_mean": -1100.0},
    ),
)
# Run the Tuner and capture the results.
results = tuner.fit()</t>
  </si>
  <si>
    <t>Ray Tune</t>
  </si>
  <si>
    <r>
      <rPr>
        <color rgb="FF1155CC"/>
        <u/>
      </rPr>
      <t>https://github.com/ray-project/ray/blob/master/rllib/algorithms/algorithm.py</t>
    </r>
    <r>
      <rPr/>
      <t xml:space="preserve"> </t>
    </r>
  </si>
  <si>
    <t>manage RLlib experiments through an instance of the Algorithm class, share the class with Experiment Manager, mix responsibilities</t>
  </si>
  <si>
    <r>
      <rPr>
        <color rgb="FF1155CC"/>
        <u/>
      </rPr>
      <t>https://github.com/ray-project/ray/blob/master/rllib/env/env_runner.py</t>
    </r>
    <r>
      <rPr/>
      <t xml:space="preserve"> </t>
    </r>
  </si>
  <si>
    <t xml:space="preserve">class EnvRunner(FaultAwareApply, metaclass=abc.ABCMeta):
Base class for distributed RL-style data collection from an environment.
RLModules/Policies tep through the environment in order to collect training data.It does so by executing a classic environment interaction loop. Efficient sample collection can be burdensome to get right, especially when leveraging environment vectorization, stateful recurrent neural networks, or when operating in a multi-agent setting.
env/multi_agent_episode.py (episode tracking)
tracks per-episode info and stats inside EnvRunners 
and passes those to callbacks:
on_episode_created, on_episode_start, 
on_episode_step, on_episode_end
....class SingleAgentEpisode:
    """A class representing RL environment episodes for individual agents.
</t>
  </si>
  <si>
    <t>env-agent +collect data loop
EnvRunner: Combining RL environment and RLModule
Given the RL environment and an RLModule, an EnvRunner produces lists of Episodes.</t>
  </si>
  <si>
    <r>
      <rPr>
        <color rgb="FF1155CC"/>
        <u/>
      </rPr>
      <t>https://github.com/ray-project/ray/blob/master/rllib/algorithms/algorithm_config.py</t>
    </r>
    <r>
      <rPr/>
      <t xml:space="preserve"> </t>
    </r>
  </si>
  <si>
    <t>AlgorithmConfig
A RLlib AlgorithmConfig builds an RLlib Algorithm from a given configuration.</t>
  </si>
  <si>
    <r>
      <rPr>
        <color rgb="FF1155CC"/>
        <u/>
      </rPr>
      <t>https://github.com/ray-project/ray/blob/master/rllib/env/multi_agent_env.py</t>
    </r>
    <r>
      <rPr/>
      <t xml:space="preserve"> ;
</t>
    </r>
    <r>
      <rPr>
        <color rgb="FF1155CC"/>
        <u/>
      </rPr>
      <t>https://github.com/ray-project/ray/blob/master/rllib/policy/policy_map.py</t>
    </r>
    <r>
      <rPr/>
      <t xml:space="preserve"> </t>
    </r>
  </si>
  <si>
    <t>FOR Env: 
env/multi_agent_env.py
MultiAgentEnv(gym.Env):
An environment that hosts multiple independent agents.
FOR Train: 
policy/policy_map.py
policy_mapping_fn(agent_id) -&gt; policy_id</t>
  </si>
  <si>
    <t>policy/policy_map.py - policy management 
policy_mapping_fn(agent_id) -&gt; policy_id to 
decide which policy handles which agent. -- policy coordination
They also provide pettingzoo wrapper</t>
  </si>
  <si>
    <r>
      <rPr>
        <color rgb="FF1155CC"/>
        <u/>
      </rPr>
      <t>https://docs.ray.io/en/master/rllib/key-concepts.html</t>
    </r>
    <r>
      <rPr/>
      <t xml:space="preserve"> </t>
    </r>
  </si>
  <si>
    <t>import ray
ray.remote(ppo_learner_class).remote(
    config=config,
    module_spec=config.get_multi_rl_module_spec(env=gym.make("Acrobot-v1")),
)
# Build the Learner.
ray.get(learner_actor.build.remote())</t>
  </si>
  <si>
    <t>Ray</t>
  </si>
  <si>
    <r>
      <rPr>
        <color rgb="FF1155CC"/>
        <u/>
      </rPr>
      <t>https://github.com/ray-project/ray/blob/master/rllib/core/learner/learner.py</t>
    </r>
    <r>
      <rPr/>
      <t xml:space="preserve">  
</t>
    </r>
    <r>
      <rPr>
        <color rgb="FF1155CC"/>
        <u/>
      </rPr>
      <t>https://github.com/ray-project/ray/blob/master/rllib/core/models/base.py</t>
    </r>
    <r>
      <rPr/>
      <t xml:space="preserve"> </t>
    </r>
  </si>
  <si>
    <t>Learner + Module</t>
  </si>
  <si>
    <r>
      <rPr>
        <color rgb="FF1155CC"/>
        <u/>
      </rPr>
      <t>https://github.com/ray-project/ray/blob/master/rllib/core/rl_module/rl_module.py</t>
    </r>
    <r>
      <rPr/>
      <t xml:space="preserve"> 
</t>
    </r>
    <r>
      <rPr>
        <color rgb="FF1155CC"/>
        <u/>
      </rPr>
      <t>https://github.com/ray-project/ray/blob/master/rllib/core/models/base.py</t>
    </r>
    <r>
      <rPr/>
      <t xml:space="preserve"> </t>
    </r>
  </si>
  <si>
    <t>class RLModule(Checkpointable, abc.ABC):
    """Base class for RLlib modules.
-----
class Model(abc.ABC):
    """Framework-agnostic base class for RLlib models.
class RLModuleSpec:
    """Utility spec class to make constructing RLModules (in single-agent case) easier.
rllib/policy</t>
  </si>
  <si>
    <t>RLModules are deep-learning framework-specific neural network wrappers. RLlib’s EnvRunners use them for computing actions when stepping through the RL environment and RLlib’s Learners use RLModule instances for computing losses and gradients before updating them.</t>
  </si>
  <si>
    <t xml:space="preserve">https://github.com/ray-project/ray/blob/master/src/ray/common/buffer.h </t>
  </si>
  <si>
    <t>src/ray/common/buffer.h
/// The interface that represents a buffer of bytes.
class Buffer {</t>
  </si>
  <si>
    <r>
      <rPr>
        <color rgb="FF1155CC"/>
        <u/>
      </rPr>
      <t>https://github.com/ray-project/ray/blob/master/rllib/core/learner/learner.py</t>
    </r>
    <r>
      <rPr/>
      <t xml:space="preserve"> </t>
    </r>
  </si>
  <si>
    <t>class Learner(Checkpointable):
    """Base class for Learners.</t>
  </si>
  <si>
    <t xml:space="preserve"> This class will be used to train RLModules.
Learner instances are algorithm-specific, mostly due to the various loss functions used by different RL algorithms.</t>
  </si>
  <si>
    <r>
      <rPr>
        <color rgb="FF1155CC"/>
        <u/>
      </rPr>
      <t>https://github.com/ray-project/ray/blob/master/rllib/utils/checkpoints.py</t>
    </r>
    <r>
      <rPr/>
      <t xml:space="preserve"> </t>
    </r>
  </si>
  <si>
    <t>rllib/utils/checkpoints.py
class Checkpointable(abc.ABC):
    """Abstract base class for a component of RLlib that can be checkpointed to disk.
def save_to_path(
        self,
        path: Optional[Union[str, pathlib.Path]] = None,
        *,
        state: Optional[StateDict] = None,
        filesystem: Optional["pyarrow.fs.FileSystem"] = None,
        use_msgpack: bool = False,
    ) -&gt; str:
        """Saves the state of the implementing class (or `state`) to `path`.
 def restore_from_path(
        self,
        path: Union[str, pathlib.Path],
        *,
        component: Optional[str] = None,
        filesystem: Optional["pyarrow.fs.FileSystem"] = None,
        **kwargs,
    ) -&gt; None:
        """Restores the state of the implementing class from the given path.
 def from_checkpoint(
        cls,
        path: Union[str, pathlib.Path],
        filesystem: Optional["pyarrow.fs.FileSystem"] = None,
        **kwargs,
    ) -&gt; "Checkpointable":
        """Creates a new Checkpointable instance from the given location and returns it.</t>
  </si>
  <si>
    <r>
      <rPr>
        <color rgb="FF1155CC"/>
        <u/>
      </rPr>
      <t>https://github.com/ray-project/ray/blob/master/rllib/utils/error.py</t>
    </r>
    <r>
      <rPr/>
      <t xml:space="preserve"> ;
</t>
    </r>
    <r>
      <rPr>
        <color rgb="FF1155CC"/>
        <u/>
      </rPr>
      <t>https://github.com/ray-project/ray/tree/master/rllib/utils/metrics</t>
    </r>
    <r>
      <rPr/>
      <t xml:space="preserve"> ;
</t>
    </r>
    <r>
      <rPr>
        <color rgb="FF1155CC"/>
        <u/>
      </rPr>
      <t>https://github.com/ray-project/ray/blob/master/rllib/utils/metrics/metrics_logger.py</t>
    </r>
    <r>
      <rPr/>
      <t xml:space="preserve"> </t>
    </r>
  </si>
  <si>
    <t xml:space="preserve"> """A generic class collecting and processing metrics in RL training and evaluation.
class Stats:
    """A container class holding a number of values and executing reductions over them.</t>
  </si>
  <si>
    <r>
      <rPr>
        <color rgb="FF1155CC"/>
        <u/>
      </rPr>
      <t>https://github.com/ray-project/ray/blob/master/rllib/utils/metrics/ray_metrics.py</t>
    </r>
    <r>
      <rPr/>
      <t xml:space="preserve"> </t>
    </r>
  </si>
  <si>
    <t>rllib/utils/metrics/ray_metrics.py
class TimerAndPrometheusLogger:
    """Context manager for timing code execution.
    Elapsed time is automatically logged to the provided Prometheus Histogram.
rllib/evaluation/metrics.py
RolloutMetrics = OldAPIStack(
    collections.namedtuple(
        "RolloutMetrics",
        [
            "episode_length",
            "episode_reward",
            "agent_rewards",
            "custom_metrics",
            "perf_stats",
            "hist_data",
            "media",
            "episode_faulty",
            "connector_metrics",
        ],
    )
)</t>
  </si>
  <si>
    <r>
      <rPr>
        <color rgb="FF1155CC"/>
        <u/>
      </rPr>
      <t>https://github.com/google-deepmind/acme/blob/master/acme/jax/experiments/run_experiment.py</t>
    </r>
    <r>
      <rPr/>
      <t xml:space="preserve"> 
</t>
    </r>
  </si>
  <si>
    <t>Given all the components defined above we can now use them to run an experiment.
We will first collect these components into an ExperimentConfig object which defines the experiment and then use run_experiment to run it. 
experiments.run_experiment(
    experiment=experiment_config,
    eval_every=1000,
    num_eval_episodes=1)</t>
  </si>
  <si>
    <t>The Experiment Manager sets up the Utilities components
(e.g., Checkpoint Manager)</t>
  </si>
  <si>
    <r>
      <rPr>
        <color rgb="FF1155CC"/>
        <u/>
      </rPr>
      <t>https://github.com/google-deepmind/acme/blob/master/acme/jax/experiments/run_experiment.py</t>
    </r>
    <r>
      <rPr/>
      <t xml:space="preserve"> 
</t>
    </r>
  </si>
  <si>
    <t>def run_experiment
Runs a simple, single-threaded training loop using the default evaluators.</t>
  </si>
  <si>
    <t>create env, agent,model...
loggger, checkpointer...
run train or evaluation
finally close env.
the Framework Orchestrator sets up the framework components (e.g., Agent and Lifecycle Manager), and orchestrates their operation.</t>
  </si>
  <si>
    <r>
      <rPr>
        <color rgb="FF1155CC"/>
        <u/>
      </rPr>
      <t>https://github.com/google-deepmind/acme/blob/master/acme/environment_loop.py</t>
    </r>
    <r>
      <rPr/>
      <t xml:space="preserve"> </t>
    </r>
  </si>
  <si>
    <t>class EnvironmentLoop(core.Worker):
A simple RL environment loop.
This takes `Environment` and `Actor` instances and coordinates their
interaction. Agent is updated if `should_update=True`. This can be used as:
loop = EnvironmentLoop(environment, actor)
loop.run(num_episodes)
run:
"""Perform the run loop.
Run the environment loop either for `num_episodes` episodes or for at
least `num_steps` steps (the last episode is always run until completion,
so the total number of steps may be slightly more than `num_steps`).
At least one of these two arguments has to be None.
action = self._actor.select_action(timestep.observation)
timestep = self._environment.step(action)
self._actor.observe(action, next_timestep=timestep)
if self._should_update: (learner)
        self._actor.update()</t>
  </si>
  <si>
    <r>
      <rPr>
        <color rgb="FF1155CC"/>
        <u/>
      </rPr>
      <t>https://github.com/google-deepmind/acme/blob/master/acme/core.py</t>
    </r>
    <r>
      <rPr/>
      <t xml:space="preserve"> </t>
    </r>
  </si>
  <si>
    <t>class Worker(abc.ABC):
  """An interface for (potentially) distributed workers."""
  @abc.abstractmethod
  def run(self):
    """Runs the worker."""</t>
  </si>
  <si>
    <t xml:space="preserve">use LaunchPad for distribution
(https://github.com/google-deepmind/acme/blob/master/docs/user/agents.md) </t>
  </si>
  <si>
    <t>LaunchPad</t>
  </si>
  <si>
    <r>
      <rPr>
        <color rgb="FF1155CC"/>
        <u/>
      </rPr>
      <t>https://github.com/google-deepmind/acme/blob/master/acme/core.py</t>
    </r>
    <r>
      <rPr/>
      <t xml:space="preserve"> </t>
    </r>
  </si>
  <si>
    <t>"""Core Acme interfaces.
This file specifies and documents the notions of `Actor` and `Learner`</t>
  </si>
  <si>
    <r>
      <rPr>
        <color rgb="FF1155CC"/>
        <u/>
      </rPr>
      <t>https://github.com/google-deepmind/acme/blob/master/acme/core.py</t>
    </r>
    <r>
      <rPr>
        <color rgb="FF000000"/>
      </rPr>
      <t xml:space="preserve"> ;
</t>
    </r>
    <r>
      <rPr>
        <color rgb="FF1155CC"/>
        <u/>
      </rPr>
      <t>https://github.com/google-deepmind/acme/tree/master/acme/jax/networks</t>
    </r>
    <r>
      <rPr>
        <color rgb="FF000000"/>
      </rPr>
      <t xml:space="preserve"> </t>
    </r>
  </si>
  <si>
    <t>class Actor(abc.ABC):
Interface for an agent that can act.</t>
  </si>
  <si>
    <t>for example, https://github.com/google-deepmind/acme/blob/master/acme/jax/networks/base.py 
class TypedFeedForwardNetwork:
  """FeedForwardNetwork with more specific types of the member functions.</t>
  </si>
  <si>
    <r>
      <rPr>
        <color rgb="FF1155CC"/>
        <u/>
      </rPr>
      <t>https://github.com/google-deepmind/acme/blob/master/acme/agents/replay.py</t>
    </r>
    <r>
      <rPr/>
      <t xml:space="preserve"> </t>
    </r>
  </si>
  <si>
    <t>acme/agents/replay.py
class ReverbReplay:</t>
  </si>
  <si>
    <t>(connect to Reverb)</t>
  </si>
  <si>
    <t>Reverb</t>
  </si>
  <si>
    <t xml:space="preserve">https://github.com/google-deepmind/acme/blob/master/acme/core.py </t>
  </si>
  <si>
    <t>class Learner(VariableSource, Worker, Saveable):
Abstract learner object.</t>
  </si>
  <si>
    <r>
      <rPr>
        <color rgb="FF1155CC"/>
        <u/>
      </rPr>
      <t>https://github.com/google-deepmind/acme/blob/master/acme/tf/savers.py</t>
    </r>
    <r>
      <rPr/>
      <t xml:space="preserve"> </t>
    </r>
  </si>
  <si>
    <t>class Checkpointer:
  """Convenience class for periodically checkpointing.
  def __init__(
      self,
      object_to_save: core.Saveable,
      directory: str = '~/acme',
      subdirectory: str = 'default',
      **tf_checkpointer_kwargs):
    super().__init__(dict(saveable=object_to_save),
                     directory=directory,
                     subdirectory=subdirectory,
                     **tf_checkpointer_kwargs)
CheckpointingRunner = tf_savers.CheckpointingRunner</t>
  </si>
  <si>
    <r>
      <rPr>
        <color rgb="FF1155CC"/>
        <u/>
      </rPr>
      <t>https://github.com/google-deepmind/acme/blob/master/acme/wrappers/video.py</t>
    </r>
    <r>
      <rPr/>
      <t xml:space="preserve"> </t>
    </r>
  </si>
  <si>
    <t>class VideoWrapper(base.EnvironmentWrapper):
Wrapper which creates and records videos from generated observations.</t>
  </si>
  <si>
    <r>
      <rPr>
        <color rgb="FF1155CC"/>
        <u/>
      </rPr>
      <t>https://github.com/google-deepmind/acme/blob/master/acme/utils/loggers/base.py</t>
    </r>
    <r>
      <rPr/>
      <t xml:space="preserve"> </t>
    </r>
  </si>
  <si>
    <t>class Logger(abc.ABC):
  """A logger has a `write` method."""</t>
  </si>
  <si>
    <r>
      <rPr>
        <color rgb="FF1155CC"/>
        <u/>
      </rPr>
      <t>https://github.com/Replicable-MARL/MARLlib/blob/master/marllib/marl/__init__.py</t>
    </r>
    <r>
      <rPr/>
      <t xml:space="preserve"> </t>
    </r>
  </si>
  <si>
    <t>class _Algo:
    """An algorithm tool class
    :param str algo_name: the algorithm name
    """
def fit(self, env: Tuple[MultiAgentEnv, Dict], model: Tuple[Any, Dict], stop: Dict = None,
            **running_params) -&gt; None:
        """
        Entering point of the whole training</t>
  </si>
  <si>
    <t>---&gt; run different algorithm
There are four parts of configurations that take charge of the whole training process.
scenario: specify the environment/task settings
algorithm: choose the hyperparameters of the algorithm
model: customize the model architecture
ray/rllib: change the basic training settings
The Experiment Manager sets up the Utilities components
(e.g., Checkpoint Manager)</t>
  </si>
  <si>
    <r>
      <rPr>
        <color rgb="FF1155CC"/>
        <u/>
      </rPr>
      <t>https://github.com/ray-project/ray/blob/master/python/ray/tune/tuner.py</t>
    </r>
    <r>
      <rPr/>
      <t xml:space="preserve"> </t>
    </r>
  </si>
  <si>
    <t>tune.Tuner(
    config.algo_class,
    param_space=config,
    # Specify a stopping criterion. Note that the criterion has to match one of the
    # pretty printed result metrics from the results returned previously by
    # ``.train()``. Also note that -1100 is not a good episode return for
    # Pendulum-v1, we are using it here to shorten the experiment time.
    run_config=tune.RunConfig(
        stop={"env_runners/episode_return_mean": -1100.0},
    ),
)
# Run the Tuner and capture the results.
results = tuner.fit()</t>
  </si>
  <si>
    <r>
      <rPr>
        <color rgb="FF1155CC"/>
        <u/>
      </rPr>
      <t>https://github.com/Replicable-MARL/MARLlib/blob/master/marllib/marl/__init__.py</t>
    </r>
    <r>
      <rPr/>
      <t xml:space="preserve"> </t>
    </r>
  </si>
  <si>
    <t>---&gt; run different algorithm
There are four parts of configurations that take charge of the whole training process.
scenario: specify the environment/task settings
algorithm: choose the hyperparameters of the algorithm
model: customize the model architecture
ray/rllib: change the basic training settings
the Framework Orchestrator sets up the framework components (e.g., Agent and Lifecycle Manager), and orchestrates their operation.</t>
  </si>
  <si>
    <r>
      <rPr>
        <color rgb="FF1155CC"/>
        <u/>
      </rPr>
      <t>https://github.com/Replicable-MARL/MARLlib/blob/master/docs/source/handbook/architecture.rst</t>
    </r>
    <r>
      <rPr/>
      <t xml:space="preserve"> </t>
    </r>
  </si>
  <si>
    <t>The library is built on top of Ray, a distributed computing framework, and RLlib, one of its toolkits.</t>
  </si>
  <si>
    <r>
      <rPr>
        <color rgb="FF1155CC"/>
        <u/>
      </rPr>
      <t>https://github.com/Replicable-MARL/MARLlib/blob/master/docs/source/handbook/architecture.rst</t>
    </r>
    <r>
      <rPr/>
      <t xml:space="preserve"> </t>
    </r>
  </si>
  <si>
    <r>
      <rPr>
        <color rgb="FF1155CC"/>
        <u/>
      </rPr>
      <t>https://github.com/Replicable-MARL/MARLlib/blob/master/examples/customize_policy_sharing.py</t>
    </r>
    <r>
      <rPr/>
      <t xml:space="preserve"> </t>
    </r>
  </si>
  <si>
    <t>policy_mapping_dict
in different run(): for example i
######################
    ### policy sharing ###
    ######################
    policy_mapping_info = env_info["policy_mapping_info"]</t>
  </si>
  <si>
    <t>MARLlib treats MARL as the combination of single agent RL processes.
cooperative scenario: policy_mapping
step(actions): return obs, rewards, dones, infos
(optional): reward sharing with agents (global_reward);
TRAIN:
In this approach, each agent collects data independently and maintains the sampled data in its individual buffer. Agents are not required to complete the data sampling process at the same time stamp. One episode sampling process is ended when the done
signal transitions to True, indicating the completion of the sampling process of all agents.
Policy mapping strategy. Upon establishing both the agent-based data provision on the environment side and the agent-level dataflow on the algorithm side, it becomes imperative to devise a mechanism for managing the dataflows between them that ensures the appropriate allocation of agents to their respective learning targets.</t>
  </si>
  <si>
    <r>
      <rPr>
        <color rgb="FF1155CC"/>
        <u/>
      </rPr>
      <t>https://github.com/Replicable-MARL/MARLlib/blob/master/marllib/marl/algos/run_vd.py</t>
    </r>
    <r>
      <rPr/>
      <t xml:space="preserve"> </t>
    </r>
  </si>
  <si>
    <t>import ray</t>
  </si>
  <si>
    <r>
      <rPr>
        <color rgb="FF1155CC"/>
        <u/>
      </rPr>
      <t>https://github.com/Replicable-MARL/MARLlib/blob/master/docs/source/handbook/architecture.rst</t>
    </r>
    <r>
      <rPr/>
      <t xml:space="preserve"> </t>
    </r>
  </si>
  <si>
    <r>
      <rPr>
        <color rgb="FF1155CC"/>
        <u/>
      </rPr>
      <t>https://github.com/Replicable-MARL/MARLlib/blob/master/docs/source/handbook/architecture.rst</t>
    </r>
    <r>
      <rPr/>
      <t xml:space="preserve"> </t>
    </r>
  </si>
  <si>
    <r>
      <rPr>
        <color rgb="FF1155CC"/>
        <u/>
      </rPr>
      <t>https://github.com/Replicable-MARL/MARLlib/blob/master/marllib/marl/algos/utils/episode_replay_buffer.py</t>
    </r>
    <r>
      <rPr/>
      <t xml:space="preserve"> </t>
    </r>
  </si>
  <si>
    <t>marllib/marl/algos/utils/episode_replay_buffer.py
@override(LocalReplayBuffer)
marllib/patch/rllib/execution/replay_buffer.py</t>
  </si>
  <si>
    <t>override rllib buffer</t>
  </si>
  <si>
    <r>
      <rPr>
        <color rgb="FF1155CC"/>
        <u/>
      </rPr>
      <t>https://github.com/Replicable-MARL/MARLlib/blob/master/docs/source/handbook/architecture.rst</t>
    </r>
    <r>
      <rPr/>
      <t xml:space="preserve"> </t>
    </r>
  </si>
  <si>
    <r>
      <rPr>
        <color rgb="FF1155CC"/>
        <u/>
      </rPr>
      <t>https://github.com/Replicable-MARL/MARLlib/blob/master/marllib/marl/algos/scripts/itrpo.py</t>
    </r>
    <r>
      <rPr/>
      <t xml:space="preserve"> </t>
    </r>
  </si>
  <si>
    <t>from ray.tune.utils import merge_dicts
from ray.tune import CLIReporter
results = tune.run(TRPOTrainer,
                       name=RUNNING_NAME,
                       checkpoint_at_end=exp['checkpoint_end'],
                       checkpoint_freq=exp['checkpoint_freq'],
                       restore=model_path,
                       stop=stop,
                       config=config,
                       verbose=1,
                       progress_reporter=CLIReporter(),
                       local_dir=available_local_dir if exp["local_dir"] == "" else exp["local_dir"])
    return results</t>
  </si>
  <si>
    <t>The library is built on top of Ray, a distributed computing framework, and RLlib, one of its toolkits, use Ray tune</t>
  </si>
  <si>
    <r>
      <rPr>
        <color rgb="FF1155CC"/>
        <u/>
      </rPr>
      <t>https://github.com/Replicable-MARL/MARLlib/blob/master/docs/source/handbook/quick_start.rst</t>
    </r>
    <r>
      <rPr/>
      <t xml:space="preserve"> </t>
    </r>
  </si>
  <si>
    <t xml:space="preserve">Logging &amp; Saving
MARLlib uses the default logger provided by Ray in ray.tune.CLIReporter. You can change the saved log location here:
https://github.com/Replicable-MARL/MARLlib/blob/master/marllib/marl/algos/utils/log_dir_util.py </t>
  </si>
  <si>
    <t>ray.tune.CLIReporter</t>
  </si>
  <si>
    <r>
      <rPr>
        <color rgb="FF1155CC"/>
        <u/>
      </rPr>
      <t>https://github.com/Replicable-MARL/MARLlib/blob/master/docs/source/handbook/quick_start.rst</t>
    </r>
    <r>
      <rPr/>
      <t xml:space="preserve"> </t>
    </r>
  </si>
  <si>
    <t>from ray.tune import CLIReporter</t>
  </si>
  <si>
    <t>Command-line reporter</t>
  </si>
  <si>
    <r>
      <rPr>
        <color rgb="FF1155CC"/>
        <u/>
      </rPr>
      <t>https://github.com/facebookresearch/BenchMARL/blob/main/benchmarl/experiment/experiment.py</t>
    </r>
    <r>
      <rPr/>
      <t xml:space="preserve"> </t>
    </r>
  </si>
  <si>
    <t xml:space="preserve">benchmarl/experiment/experiment.py
class Experiment(CallbackNotifier):
    """
    Main experiment class in BenchMARL.
An experiment is a training run in which an algorithm, a task, and a model are fixed. </t>
  </si>
  <si>
    <t>train, evaluate, checkpoint</t>
  </si>
  <si>
    <r>
      <rPr>
        <color rgb="FF1155CC"/>
        <u/>
      </rPr>
      <t>https://github.com/facebookresearch/BenchMARL/blob/main/benchmarl/benchmark/benchmark.py</t>
    </r>
    <r>
      <rPr/>
      <t xml:space="preserve"> </t>
    </r>
  </si>
  <si>
    <t xml:space="preserve">class Benchmark:  
"""A benchmark.
Benchmarks are collections of experiments to compare.
</t>
  </si>
  <si>
    <r>
      <rPr>
        <color rgb="FF1155CC"/>
        <u/>
      </rPr>
      <t>https://github.com/facebookresearch/BenchMARL/blob/main/benchmarl/experiment/experiment.py</t>
    </r>
    <r>
      <rPr/>
      <t xml:space="preserve"> </t>
    </r>
  </si>
  <si>
    <t>class Experiment(CallbackNotifier):
def run(self):
        """Run the experiment until completion."""
        try:
            seed_everything(self.seed)
            torch.cuda.empty_cache()
            self._collection_loop()
        except KeyboardInterrupt as interrupt:
            print("\n\nExperiment was closed gracefully\n\n")
            self.close()
            raise interrupt
        except Exception as err:
            print("\n\nExperiment failed and is closing gracefully\n\n")
            self.close()
            raise err</t>
  </si>
  <si>
    <t>execute run() -&gt; get into the train loop, with orchestrator, agent, env</t>
  </si>
  <si>
    <r>
      <rPr>
        <color rgb="FF1155CC"/>
        <u/>
      </rPr>
      <t>https://github.com/facebookresearch/BenchMARL/blob/main/benchmarl/experiment/experiment.py</t>
    </r>
    <r>
      <rPr/>
      <t xml:space="preserve"> </t>
    </r>
  </si>
  <si>
    <t>benchmarl/experiment/experiment.py
class Experiment(CallbackNotifier):
def _collection_loop(self):
 # Training/collection iterations
# Logging</t>
  </si>
  <si>
    <t>collect data, update policy</t>
  </si>
  <si>
    <r>
      <rPr>
        <color rgb="FF1155CC"/>
        <u/>
      </rPr>
      <t>https://github.com/facebookresearch/BenchMARL/blob/main/benchmarl/run.py</t>
    </r>
    <r>
      <rPr/>
      <t xml:space="preserve"> ;
</t>
    </r>
    <r>
      <rPr>
        <color rgb="FF1155CC"/>
        <u/>
      </rPr>
      <t>https://github.com/facebookresearch/BenchMARL/blob/main/benchmarl/hydra_config.py</t>
    </r>
    <r>
      <rPr/>
      <t xml:space="preserve"> </t>
    </r>
  </si>
  <si>
    <t>if _has_hydra:
    from hydra import compose, initialize, initialize_config_dir
    from omegaconf import DictConfig, OmegaConf</t>
  </si>
  <si>
    <t>Hydra for flexible and modular configuration</t>
  </si>
  <si>
    <r>
      <rPr>
        <color rgb="FF1155CC"/>
        <u/>
      </rPr>
      <t>https://github.com/facebookresearch/BenchMARL/blob/main/benchmarl/algorithms/iql.py</t>
    </r>
    <r>
      <rPr/>
      <t xml:space="preserve"> </t>
    </r>
  </si>
  <si>
    <t>experiment_config.share_policy_params = True # Policy parameter sharing on
BenchMARL will automatically group agents based on the VMAS name 
This allows to stack their data because they are homogeneous.
Agents from different groups will be kept separate and it is even possible to use different models 
and algorithms for different groups. 
It is possible to use different algorithms and models for different agent groups.</t>
  </si>
  <si>
    <t>In algorithms/ folder for each algorithm, for example:
((all cars togherther, all holonomic together, all differential drive together).
implementation in algorithm</t>
  </si>
  <si>
    <r>
      <rPr>
        <color rgb="FF1155CC"/>
        <u/>
      </rPr>
      <t>https://github.com/facebookresearch/BenchMARL/blob/main/benchmarl/algorithms/common.py</t>
    </r>
    <r>
      <rPr/>
      <t xml:space="preserve"> </t>
    </r>
  </si>
  <si>
    <t xml:space="preserve">class Algorithm(ABC):
    """
    Abstract class for an algorithm.
Algorithms. 
Algorithms are an ensemble of components (e.g., losss, replay buffer) 
which determine the training strategy. </t>
  </si>
  <si>
    <r>
      <rPr>
        <color rgb="FF1155CC"/>
        <u/>
      </rPr>
      <t>https://github.com/facebookresearch/BenchMARL/tree/main/benchmarl/models</t>
    </r>
    <r>
      <rPr/>
      <t xml:space="preserve"> ;
</t>
    </r>
    <r>
      <rPr>
        <color rgb="FF1155CC"/>
        <u/>
      </rPr>
      <t>https://github.com/facebookresearch/BenchMARL/blob/main/benchmarl/models/common.py</t>
    </r>
    <r>
      <rPr/>
      <t xml:space="preserve">  </t>
    </r>
  </si>
  <si>
    <t xml:space="preserve">Models are neural networks used to process data. 
They can be used as actors (policies) or, when requested, as critics. 
We provide a set of base models (layers) and a SequenceModel to concatenate different layers. </t>
  </si>
  <si>
    <r>
      <rPr>
        <color rgb="FF1155CC"/>
        <u/>
      </rPr>
      <t>https://github.com/facebookresearch/BenchMARL/blob/main/benchmarl/environments/common.py</t>
    </r>
    <r>
      <rPr/>
      <t xml:space="preserve"> </t>
    </r>
  </si>
  <si>
    <t>benchmarl/environments/common.py
torch.data.ReplayBuffer
A generic, composable replay buffer class.</t>
  </si>
  <si>
    <r>
      <rPr>
        <color rgb="FF1155CC"/>
        <u/>
      </rPr>
      <t>https://github.com/facebookresearch/BenchMARL/blob/main/benchmarl/algorithms/common.py</t>
    </r>
    <r>
      <rPr/>
      <t xml:space="preserve"> </t>
    </r>
  </si>
  <si>
    <t>def get_policy_for_loss(self, group: str) -&gt; TensorDictModule:
        """
        Get the non-explorative policy for a specific group loss.
        This function calls the abstract :class:`~benchmarl.algorithms.Algorithm._get_policy_for_loss()` which needs to be implemented.
        The function will cache the output at the first call and return the cached values in future calls.
        Args:
            group (str): agent group of the policy
        Returns: TensorDictModule representing the policy
        """
        if group not in self._policies_for_loss.keys():
            action_space = self.action_spec[group, "action"]
            continuous = not isinstance(action_space, (Categorical, OneHot))
            self._policies_for_loss.update(
                {
                    group: self._get_policy_for_loss(
                        group=group,
                        continuous=continuous,
                        model_config=self.model_config,
                    )
                }
            )
        return self._policies_for_loss[group]</t>
  </si>
  <si>
    <t>inside class Algorithm(ABC), not a seperate module</t>
  </si>
  <si>
    <r>
      <rPr>
        <color rgb="FF1155CC"/>
        <u/>
      </rPr>
      <t>https://github.com/facebookresearch/BenchMARL/blob/main/examples/checkpointing/reload_experiment.py</t>
    </r>
    <r>
      <rPr/>
      <t xml:space="preserve"> ;
</t>
    </r>
    <r>
      <rPr>
        <color rgb="FF1155CC"/>
        <u/>
      </rPr>
      <t>https://github.com/facebookresearch/BenchMARL/blob/main/examples/checkpointing/resume_experiment.py</t>
    </r>
    <r>
      <rPr/>
      <t xml:space="preserve"> </t>
    </r>
  </si>
  <si>
    <t>examples/checkpointing/reload_experiment.py
  # Save the experiment in the current folder
    experiment_config.save_folder = Path(os.path.dirname(os.path.realpath(__file__)))
    # Checkpoint at every iteration
-----
examples/checkpointing/resume_experiment.py
reload_experiment_from_file
 # Now we tell it where to resume from
    restored_experiment = reload_experiment_from_file(
        (
            experiment.folder_name
            / "checkpoints"
            / f"checkpoint_{experiment_config.checkpoint_interval}.pt"
        )
    )  # Restore from first checkpoint</t>
  </si>
  <si>
    <r>
      <rPr>
        <color rgb="FF1155CC"/>
        <u/>
      </rPr>
      <t>https://github.com/facebookresearch/BenchMARL/blob/main/benchmarl/experiment/logger.py</t>
    </r>
    <r>
      <rPr/>
      <t xml:space="preserve"> </t>
    </r>
  </si>
  <si>
    <t>benchmarl/experiment/logger.py
class Logger
 def log_evaluation(
logger.log_video("eval_video", vid, step=step)
logger.log_video("eval/video", vid, fps=20, commit=False)</t>
  </si>
  <si>
    <t>inside logger, not a seperate module, only the function</t>
  </si>
  <si>
    <r>
      <rPr>
        <color rgb="FF1155CC"/>
        <u/>
      </rPr>
      <t>https://github.com/facebookresearch/BenchMARL/blob/main/benchmarl/experiment/logger.py</t>
    </r>
    <r>
      <rPr/>
      <t xml:space="preserve"> </t>
    </r>
  </si>
  <si>
    <t>benchmarl/experiment/logger.py
class Logger
from torchrl.record import TensorboardLogger
from torchrl.record.loggers import get_logger
from torchrl.record.loggers.wandb import WandbLogger</t>
  </si>
  <si>
    <t>BenchMARL is compatible with the TorchRL loggers.</t>
  </si>
  <si>
    <t>TorchRL loggers</t>
  </si>
  <si>
    <r>
      <rPr>
        <color rgb="FF1155CC"/>
        <u/>
      </rPr>
      <t>https://github.com/facebookresearch/BenchMARL/blob/main/benchmarl/eval_results.py</t>
    </r>
    <r>
      <rPr/>
      <t xml:space="preserve"> 
</t>
    </r>
    <r>
      <rPr>
        <color rgb="FF1155CC"/>
        <u/>
      </rPr>
      <t>https://github.com/instadeepai/marl-eval/tree/main/marl_eval/plotting_tools</t>
    </r>
    <r>
      <rPr/>
      <t xml:space="preserve"> </t>
    </r>
  </si>
  <si>
    <t>benchmarl/eval_results.py
import collections
import importlib
class Plotting:
Class containing static utilities for plotting in ``marl-eval``.
from benchmarl.eval_results import load_and_merge_json_dicts, Plotting
 # Plotting
    Plotting.performance_profile_figure(
        environment_comparison_matrix=environment_comparison_matrix
    )
    Plotting.aggregate_scores(
        environment_comparison_matrix=environment_comparison_matrix
    )
    Plotting.environemnt_sample_efficiency_curves(
        sample_effeciency_matrix=sample_efficiency_matrix
    )
    Plotting.task_sample_efficiency_curves(
        processed_data=processed_data, env="vmas", task="navigation"
    )
    Plotting.probability_of_improvement(
        environment_comparison_matrix,
        algorithms_to_compare=[["qmix", "mappo"]],
    )
    plt.show()
-----
marl_eval/plotting_tools
from marl_eval.plotting_tools.plotting import (
        aggregate_scores,
        performance_profiles,
        plot_single_task,
        probability_of_improvement,
        sample_efficiency_curves,
    )
    from marl_eval.utils.data_processing_utils import (
        create_matrices_for_rliable,
        data_process_pipeline,
    )
    from matplotlib import pyplot as plt</t>
  </si>
  <si>
    <t>Plotting</t>
  </si>
  <si>
    <t>marl_eval/plotting_tools</t>
  </si>
  <si>
    <r>
      <rPr>
        <color rgb="FF1155CC"/>
        <u/>
      </rPr>
      <t>https://github.com/instadeepai/Mava/tree/develop/mava/systems</t>
    </r>
    <r>
      <rPr/>
      <t xml:space="preserve"> 
</t>
    </r>
    <r>
      <rPr>
        <color rgb="FF1155CC"/>
        <u/>
      </rPr>
      <t>https://github.com/instadeepai/Mava/blob/develop/mava/systems/ppo/anakin/ff_ippo.py</t>
    </r>
    <r>
      <rPr/>
      <t xml:space="preserve"> </t>
    </r>
  </si>
  <si>
    <t>def run_experiment(_config: DictConfig) -&gt; float:
    """Runs experiment."""
setup environment, logging, checkpoint, 
learn, actor_network, learner_state = learner_setup(
        env, (key, actor_net_key, critic_net_key), config
    )
learn, evaluate, output</t>
  </si>
  <si>
    <t>mava/systems
(each algorithm one file)
For example the link here.
mix responsibilities with the Framework Orchestrator.
The Experiment Manager sets up the Utilities components
(e.g., Checkpoint Manager)</t>
  </si>
  <si>
    <r>
      <rPr>
        <color rgb="FF1155CC"/>
        <u/>
      </rPr>
      <t>https://github.com/instadeepai/Mava/tree/develop/mava/systems</t>
    </r>
    <r>
      <rPr/>
      <t xml:space="preserve"> 
</t>
    </r>
    <r>
      <rPr>
        <color rgb="FF1155CC"/>
        <u/>
      </rPr>
      <t>https://github.com/instadeepai/Mava/blob/develop/mava/systems/ppo/anakin/ff_ippo.py</t>
    </r>
    <r>
      <rPr/>
      <t xml:space="preserve"> </t>
    </r>
  </si>
  <si>
    <t>mava/systems
(each algorithm one file)
For example the link here.
learn, evaluate, output
mix responsibilities with the Experiment Manager.
the Framework Orchestrator sets up the framework components (e.g., Agent and Lifecycle Manager), and orchestrates their operation.</t>
  </si>
  <si>
    <r>
      <rPr>
        <color rgb="FF1155CC"/>
        <u/>
      </rPr>
      <t>https://github.com/instadeepai/Mava/blob/develop/mava/systems/gpo/anakin/rec_magpo.py</t>
    </r>
    <r>
      <rPr/>
      <t xml:space="preserve"> </t>
    </r>
  </si>
  <si>
    <t>def _env_step(
            learner_state: LearnerState, _: Any
        ) -&gt; Tuple[LearnerState, Tuple[Transition, Metrics]]:
            """Step the environment."""</t>
  </si>
  <si>
    <t xml:space="preserve"> inside Algorithm, for example the link here,
step through, info change between env and agent</t>
  </si>
  <si>
    <r>
      <rPr>
        <color rgb="FF1155CC"/>
        <u/>
      </rPr>
      <t>https://github.com/instadeepai/Mava/tree/develop</t>
    </r>
    <r>
      <rPr/>
      <t xml:space="preserve"> ;
</t>
    </r>
    <r>
      <rPr>
        <color rgb="FF1155CC"/>
        <u/>
      </rPr>
      <t>https://github.com/instadeepai/Mava/blob/develop/mava/systems/ppo/anakin/ff_ippo.py</t>
    </r>
    <r>
      <rPr/>
      <t xml:space="preserve"> </t>
    </r>
  </si>
  <si>
    <t xml:space="preserve">Mava makes use of Hydra for config management. In order to see our default system configs please see the mava/configs/ directory. A benefit of Hydra is that configs can either be set in config yaml files or overwritten from the terminal on the fly. 
----
from omegaconf import DictConfig, OmegaConf
import hydra
Hydra's configuration object is an instance of OmegaConf's DictConfig.
config: DictConfig = OmegaConf.create(config)
def hydra_entry_point(cfg: DictConfig) -&gt; float:
    """Experiment entry point."""
    # Allow dynamic attributes.
    OmegaConf.set_struct(cfg, False)
    # Run experiment.
    eval_performance = run_experiment(cfg)
    print(f"{Fore.CYAN}{Style.BRIGHT}IPPO experiment completed{Style.RESET_ALL}")
    return eval_performance
if __name__ == "__main__":
    hydra_entry_point()
</t>
  </si>
  <si>
    <r>
      <rPr>
        <color rgb="FF1155CC"/>
        <u/>
      </rPr>
      <t>https://github.com/instadeepai/Mava/blob/develop/mava/systems/sac/anakin/ff_isac.py</t>
    </r>
    <r>
      <rPr/>
      <t xml:space="preserve"> </t>
    </r>
  </si>
  <si>
    <t># Number of env steps before evaluating/logging.
    steps_per_rollout = int(cfg.system.total_timesteps // cfg.arch.num_evaluation)
    # Multiplier for a single env/learn step in an anakin system
    anakin_steps = cfg.arch.n_devices * cfg.system.update_batch_size
    # Number of env steps in one anakin style update.
    anakin_act_steps = anakin_steps * cfg.arch.num_envs * cfg.system.rollout_length
    # Number of steps to do in the scanned update method (how many anakin steps).
    cfg.system.scan_steps = int(steps_per_rollout / anakin_act_steps)
# Distribute params and opt states across all devices
    params = replicate(params)
    opt_states = replicate(opt_states)</t>
  </si>
  <si>
    <t>support distribution, but not a complete module.
Anakin architecture (Hessel et al., 2021) for scalable distributed system training on hardware
accelerators
Mava supports both Podracer architectures for scaling RL systems. The first of these is Anakin, which can be used when environments are written in JAX. This enables end-to-end JIT compilation of the full MARL training loop for fast experiment run times on hardware accelerators. The second is Sebulba, which can be used when environments are not written in JAX. Sebulba is particularly useful when running RL experiments where a hardware accelerator can interact with many CPU cores at a time.</t>
  </si>
  <si>
    <t>https://github.com/instadeepai/Mava/blob/develop/mava/systems/ppo/anakin/rec_mappo.py</t>
  </si>
  <si>
    <t># Step environment for rollout length
        learner_state, (traj_batch, episode_metrics) = jax.lax.scan(
            _env_step, learner_state, length=config.system.rollout_length
        )
        # Calculate advantage
        params, opt_states, key, env_state, last_timestep, last_done, updated_hstates = (
            learner_state
        )</t>
  </si>
  <si>
    <r>
      <rPr>
        <color rgb="FF1155CC"/>
        <u/>
      </rPr>
      <t>https://github.com/instadeepai/Mava/tree/develop/mava/networks</t>
    </r>
    <r>
      <rPr/>
      <t xml:space="preserve"> 
</t>
    </r>
    <r>
      <rPr>
        <color rgb="FF1155CC"/>
        <u/>
      </rPr>
      <t>https://github.com/instadeepai/Mava/blob/develop/mava/networks/base.py</t>
    </r>
    <r>
      <rPr/>
      <t xml:space="preserve"> </t>
    </r>
  </si>
  <si>
    <t>Actor(nn.Module)/Critic()
from mava.networks.base import (
    FeedForwardActor,
    FeedForwardQNet,
    FeedForwardValueNet,
    RecQNetwork,
    RecurrentActor,
    RecurrentValueNet,
    ScannedRNN,
)</t>
  </si>
  <si>
    <t>only the complete network module, seperate implementations, implement nn,Module, but all the function approcximator logics are merged into the each single algorithm implementaion. not modular.</t>
  </si>
  <si>
    <t xml:space="preserve">https://github.com/instadeepai/Mava/blob/develop/mava/systems/sac/anakin/ff_isac.p </t>
  </si>
  <si>
    <t>import flashbax as fbx
from colorama import Fore, Style
from flashbax.buffers.flat_buffer import TrajectoryBuffer
 # Create replay buffer
    init_transition = Transition(
        obs=obs,
        action=acts,
        reward=jnp.zeros((n_agents,), dtype=float),
        done=jnp.zeros((n_agents,), dtype=bool),
        next_obs=obs,
    )
    rb = fbx.make_item_buffer(
        max_length=int(cfg.system.buffer_size),
        min_length=int(cfg.system.explore_steps),
        sample_batch_size=int(cfg.system.batch_size),
        add_batches=True,
    )
    buffer_state = replicate(rb.init(init_transition))</t>
  </si>
  <si>
    <t>FlashBax</t>
  </si>
  <si>
    <t xml:space="preserve">https://github.com/instadeepai/Mava/blob/develop/mava/systems/sac/anakin/ff_isac.py  </t>
  </si>
  <si>
    <t>data = rb.sample(buffer_state, buff_key).experience
params, opt_states, q_loss_info = update_q(params, opt_states, data, q_key)
# Sample and learn
        learn_state = (buffer_state, params, opt_states, t, learn_key)
        (buffer_state, params, opt_states, _, _), losses = scanned_train(learn_state)
        t += cfg.arch.num_envs * cfg.system.rollout_length
        return (
            LearnerState(next_obs, env_state, buffer_state, params, opt_states, t, key),
            (metrics, losses),
        )
learner_setup
def get_learner_fn(
    env: jumanji.Environment,
    apply_fns: Tuple[ActorApply, CriticApply],
    update_fns: Tuple[optax.TransformUpdateFn, optax.TransformUpdateFn],
    config: DictConfig,
) -&gt; LearnerFn[LearnerState]:
    """Get the learner function."""
    # Unpack apply and update functions.
    actor_apply_fn, critic_apply_fn = apply_fns
    actor_update_fn, critic_update_fn = update_fns
    def _update_step(learner_state: LearnerState, _: Any) -&gt; Tuple[LearnerState, Tuple]:
        """A single update of the network.
 def learner_fn(learner_state: LearnerState) -&gt; ExperimentOutput[LearnerState]:
        """Learner function.</t>
  </si>
  <si>
    <t>all the learner logics are merged into the each single algorithm implementaion. 
not modular.
(learner_func here, but no learner)</t>
  </si>
  <si>
    <r>
      <rPr>
        <color rgb="FF1155CC"/>
        <u/>
      </rPr>
      <t>https://github.com/instadeepai/Mava/blob/develop/mava/utils/checkpointing.py</t>
    </r>
    <r>
      <rPr/>
      <t xml:space="preserve"> </t>
    </r>
  </si>
  <si>
    <t>mava/utils/checkpointing.py
class Checkpointer:
Model checkpointer for saving and restoring the `learner_state`.
import orbax.checkpoint</t>
  </si>
  <si>
    <t>Orbax</t>
  </si>
  <si>
    <t xml:space="preserve">https://github.com/instadeepai/Mava/blob/develop/mava/utils/logger.py </t>
  </si>
  <si>
    <t>mava/utils/logger.py
class MavaLogger:
    def __init__(
        self,
        config: DictConfig,
        custom_metrics_fn: Callable[[Metrics], Metrics] = winrate_custom_metric,
    ) -&gt; None:
        """The main logger for Mava systems.
class NeptuneLogger(BaseLogger):
    def __init__(
        self,
        base_exp_path: PathLike,
        unique_token: str,
        system_name: str,
        project: str,
        tag: list[str],
        group_tag: list[str],
        detailed_logging: bool,
        architecture_name: str,
        upload_json_data: bool,
        run_id: str | None = None,
    ) -&gt; None:
        """
        Initialize neptune.ai logger for experiment tracking.
class TensorboardLogger(BaseLogger):
    def __init__(self, base_exp_path: PathLike, unique_token: str, system_name: str) -&gt; None:
        """
        Initialize TensorBoard logger for visualization.
        Args:
            base_exp_path: Base path where logs will be stored
            unique_token: Unique identifier string for this run
            system_name: Name of the system/algorithm being logged
        """</t>
  </si>
  <si>
    <t xml:space="preserve">Neptune, Tensorboard
</t>
  </si>
  <si>
    <r>
      <rPr>
        <color rgb="FF1155CC"/>
        <u/>
      </rPr>
      <t>https://github.com/instadeepai/Mava/blob/develop/mava/utils/logger.py</t>
    </r>
    <r>
      <rPr/>
      <t xml:space="preserve"> </t>
    </r>
  </si>
  <si>
    <t>class TensorboardLogger(BaseLogger):
    def __init__(self, base_exp_path: PathLike, unique_token: str, system_name: str) -&gt; None:
        """
        Initialize TensorBoard logger for visualization.</t>
  </si>
  <si>
    <t>tensorboard for visualization</t>
  </si>
  <si>
    <r>
      <rPr>
        <color rgb="FF1155CC"/>
        <u/>
      </rPr>
      <t>https://github.com/google/dopamine/blob/master/dopamine/discrete_domains/run_experiment.py</t>
    </r>
    <r>
      <rPr/>
      <t xml:space="preserve"> </t>
    </r>
  </si>
  <si>
    <t>dopamine/discrete_domains/run_experiment.py
@gin.configurable
class Runner(object):
  """Object that handles running Dopamine experiments.
Here we use the term 'experiment' to mean simulating interactions between the agent and the environment and reporting some statistics pertaining to these interactions.</t>
  </si>
  <si>
    <t>create checkpoint, logging
save, summarize
mix responsibilities with the Framework Orchestrator.
The Experiment Manager sets up the Utilities components
(e.g., Checkpoint Manager)</t>
  </si>
  <si>
    <r>
      <rPr>
        <color rgb="FF1155CC"/>
        <u/>
      </rPr>
      <t>https://github.com/google/dopamine/blob/master/dopamine/discrete_domains/run_experiment.py</t>
    </r>
    <r>
      <rPr/>
      <t xml:space="preserve"> </t>
    </r>
  </si>
  <si>
    <t>create env, agent,
initialize, run
mix responsibilities with the Experiment Manager.
the Framework Orchestrator sets up the framework components (e.g., Agent and Lifecycle Manager), and orchestrates their operation.</t>
  </si>
  <si>
    <r>
      <rPr>
        <color rgb="FF1155CC"/>
        <u/>
      </rPr>
      <t>https://github.com/google/dopamine/blob/master/dopamine/discrete_domains/run_experiment.py</t>
    </r>
    <r>
      <rPr/>
      <t xml:space="preserve"> 
</t>
    </r>
    <r>
      <rPr>
        <color rgb="FF1155CC"/>
        <u/>
      </rPr>
      <t>https://github.com/google/dopamine/blob/master/dopamine/jax/agents/full_rainbow/full_rainbow_agent.py</t>
    </r>
    <r>
      <rPr/>
      <t xml:space="preserve"> </t>
    </r>
  </si>
  <si>
    <t>run
def _run_train_phase(self, statistics):
    """Run training phase.
def _run_eval_phase(self, statistics):
    """Run evaluation phase.
-----
def _train_step(self):
    """Runs a single training step.
    Runs training if both:
      (1) A minimum number of frames have been added to the replay buffer.
      (2) `training_steps` is a multiple of `update_period`.</t>
  </si>
  <si>
    <t>run call agent.train_step
train_step: agent &lt;-&gt; env</t>
  </si>
  <si>
    <r>
      <rPr>
        <color rgb="FF1155CC"/>
        <u/>
      </rPr>
      <t>https://github.com/google/dopamine/blob/master/dopamine/discrete_domains/run_experiment.py</t>
    </r>
    <r>
      <rPr/>
      <t xml:space="preserve"> </t>
    </r>
  </si>
  <si>
    <t>def load_gin_configs(gin_files, gin_bindings):
  """Loads gin configuration files.
  Args:
    gin_files: list, of paths to the gin configuration files for this
      experiment.
    gin_bindings: list, of gin parameter bindings to override the values in the
      config files.
  """
  gin.parse_config_files_and_bindings(
      gin_files, bindings=gin_bindings, skip_unknown=False
  )
Gin Config, lightweight configuration framework
The whole of Dopamine is easily configured using the gin configuration framework.</t>
  </si>
  <si>
    <t>Gin</t>
  </si>
  <si>
    <t>https://github.com/google/dopamine/tree/master/dopamine/jax/agents</t>
  </si>
  <si>
    <t>class JaxDQNAgent(object):
  """A JAX implementation of the DQN agent."""</t>
  </si>
  <si>
    <t>for each diffeernt type algorithm they have different agent
The agent class, in dopamine/agents.
for example, DQNAgent</t>
  </si>
  <si>
    <r>
      <rPr>
        <color rgb="FF1155CC"/>
        <u/>
      </rPr>
      <t>https://github.com/google/dopamine/blob/master/dopamine/jax/agents/dqn/dqn_agent.py</t>
    </r>
    <r>
      <rPr/>
      <t xml:space="preserve"> </t>
    </r>
  </si>
  <si>
    <t>agent.def _record_observation(self, observation):
    """Records an observation and update state.
def select_action(
def step(self, reward, observation):
    """Returns the agent's next action and update agent's state.</t>
  </si>
  <si>
    <t>functions have the responsibilities of Function Approximator, but not a seperate module, they are merged into Agent.</t>
  </si>
  <si>
    <r>
      <rPr>
        <color rgb="FF1155CC"/>
        <u/>
      </rPr>
      <t>https://github.com/google/dopamine/blob/master/dopamine/jax/replay_memory/replay_buffer.py</t>
    </r>
    <r>
      <rPr/>
      <t xml:space="preserve"> </t>
    </r>
  </si>
  <si>
    <t>dopamine/jax/replay_memory/replay_buffer.py
class ReplayBuffer(checkpointers.Checkpointable, Generic[ReplayElementT]):
  """A Jax re-implementation of the Dopamine Replay Buffer.</t>
  </si>
  <si>
    <r>
      <rPr>
        <color rgb="FF1155CC"/>
        <u/>
      </rPr>
      <t>https://github.com/google/dopamine/blob/master/dopamine/labs/offline_rl/jax/offline_dqn_agent.py</t>
    </r>
    <r>
      <rPr/>
      <t xml:space="preserve"> </t>
    </r>
  </si>
  <si>
    <t>def step(self, reward, observation):
    """Returns the agent's next action and update agent's state.</t>
  </si>
  <si>
    <t>functions have the responsibilities of Learner, but not a seperate module, they are merged into Agent.</t>
  </si>
  <si>
    <r>
      <rPr>
        <color rgb="FF1155CC"/>
        <u/>
      </rPr>
      <t>https://github.com/google/dopamine/blob/master/dopamine/discrete_domains/checkpointer.py</t>
    </r>
    <r>
      <rPr/>
      <t xml:space="preserve"> </t>
    </r>
  </si>
  <si>
    <t>dopamine/discrete_domains/checkpointer.py
"""A checkpointing mechanism for Dopamine agents.
from absl import logging
from dopamine.discrete_domains import atari_lib
from dopamine.discrete_domains import checkpointer
from dopamine.discrete_domains import iteration_statistics
from dopamine.discrete_domains import logger
class Checkpointer(object):
  """Class for managing checkpoints for Dopamine agents."""</t>
  </si>
  <si>
    <r>
      <rPr>
        <color rgb="FF1155CC"/>
        <u/>
      </rPr>
      <t>https://github.com/google/dopamine/blob/master/dopamine/utils/agent_visualizer.py</t>
    </r>
    <r>
      <rPr/>
      <t xml:space="preserve"> </t>
    </r>
  </si>
  <si>
    <t>class AgentVisualizer(object):
  """Code to visualize an agent's behaviour."""
  def __init__(
      self,
      record_path,
      plotters,
      screen_width=160,
      screen_height=210,
      render_rate=1,
      file_types=('png', ''),
      filename_format='frame_{:06d}',
  ):
    """Constructor for the AgentVisualizer class.
This class generates a series of images built by a set of Plotters. These images are then saved to disk.
It can optionally generate a video by concatenating all the images with ffmpeg.</t>
  </si>
  <si>
    <t>This class generates a series of images built by a set of Plotters. These images are then saved to disk.
It can optionally generate a video by concatenating all the images with ffmpeg.</t>
  </si>
  <si>
    <r>
      <rPr>
        <color rgb="FF1155CC"/>
        <u/>
      </rPr>
      <t>https://github.com/google/dopamine/blob/master/dopamine/discrete_domains/logger.py</t>
    </r>
    <r>
      <rPr/>
      <t xml:space="preserve"> </t>
    </r>
  </si>
  <si>
    <t>dopamine/discrete_domains/logger.py
class Logger(object):
  """Class for maintaining a dictionary of data to log."""</t>
  </si>
  <si>
    <r>
      <rPr>
        <color rgb="FF1155CC"/>
        <u/>
      </rPr>
      <t>https://github.com/google/dopamine/blob/master/dopamine/continuous_domains/run_experiment.py</t>
    </r>
    <r>
      <rPr/>
      <t xml:space="preserve"> </t>
    </r>
  </si>
  <si>
    <t>def _save_tensorboard_summaries(
      self, iteration, num_episodes, average_reward, average_steps_per_second
  ):
    """Save statistics as tensorboard summaries."""
    if self._summary_writer is None:
      return
    if self._sess is None:
      with self._summary_writer.as_default():
        tf.summary.scalar('Train/NumEpisodes', num_episodes, step=iteration)
        tf.summary.scalar(
            'Train/AverageReturns', average_reward, step=iteration
        )
        tf.summary.scalar(
            'Train/AverageStepsPerSecond',
            average_steps_per_second,
            step=iteration,
        )
      self._summary_writer.flush()
    else:
      summary = tf.compat.v1.Summary(
          value=[
              tf.compat.v1.Summary.Value(
                  tag='Train/NumEpisodes', simple_value=num_episodes
              ),
              tf.compat.v1.Summary.Value(
                  tag='Train/AverageReturns', simple_value=average_reward
              ),
              tf.compat.v1.Summary.Value(
                  tag='Train/AverageStepsPerSecond',
                  simple_value=average_steps_per_second,
              ),
          ]
      )
      self._summary_writer.add_summary(summary, iteration)</t>
  </si>
  <si>
    <r>
      <rPr>
        <color rgb="FF1155CC"/>
        <u/>
      </rPr>
      <t>https://github.com/thu-ml/tianshou/blob/master/tianshou/highlevel/experiment.py</t>
    </r>
    <r>
      <rPr/>
      <t xml:space="preserve"> </t>
    </r>
  </si>
  <si>
    <t>tianshou/highlevel/experiment.py
The experiment module provides high-level interfaces 
for setting up and running reinforcement learning experiments.</t>
  </si>
  <si>
    <t>setup, checkpoint, run, collect result,
persistence and the overall experiment flow</t>
  </si>
  <si>
    <r>
      <rPr>
        <color rgb="FF1155CC"/>
        <u/>
      </rPr>
      <t>https://github.com/thu-ml/tianshou/blob/master/tianshou/trainer.py</t>
    </r>
    <r>
      <rPr/>
      <t xml:space="preserve"> </t>
    </r>
  </si>
  <si>
    <t xml:space="preserve">tianshou/trainer.py
This module contains Tianshou's trainer classes, which orchestrate the training and call upon an RL algorithm's
specific network updating logic to perform the actual gradient updates.
The base class already implements the fundamental epoch logic and fully implements the test step
logic, which is common to all trainers. </t>
  </si>
  <si>
    <t>controls fundamental training parameters, such as the total number of epochs we run the experiment for</t>
  </si>
  <si>
    <r>
      <rPr>
        <color rgb="FF1155CC"/>
        <u/>
      </rPr>
      <t>https://github.com/thu-ml/tianshou/blob/master/tianshou/trainer.py</t>
    </r>
    <r>
      <rPr/>
      <t xml:space="preserve"> </t>
    </r>
  </si>
  <si>
    <t>tianshou/trainer.py
def run(
        self, reset_collectors: bool = True, reset_collector_buffers: bool = False
    ) -&gt; InfoStats:
        """Runs the training process with the configuration given at construction.
def _training_step(self) -&gt; _TrainingStepResult:
        """Performs one training step."""</t>
  </si>
  <si>
    <t>run: world.trainer.run() 
(env &lt;-&gt; agent, function indie the framework orchestrator, not a seperate module here)</t>
  </si>
  <si>
    <t xml:space="preserve">https://github.com/thu-ml/tianshou/blob/master/tianshou/highlevel/config.py </t>
  </si>
  <si>
    <t>tianshou/config.py
tianshou/highlevel/config.py
class TrainingConfig(ToStringMixin):
    """Training configuration."""</t>
  </si>
  <si>
    <t>https://github.com/thu-ml/tianshou/blob/master/tianshou/algorithm/multiagent/marl.py</t>
  </si>
  <si>
    <t>tianshou/algorithm/multiagent/marl.py
class MultiAgentPolicy(Policy):
def forward(  # type: ignore
        self,
        batch: Batch,
        state: dict | Batch | None = None,
        **kwargs: Any,
    ) -&gt; Batch:
        """Dispatch batch data from obs.agent_id to every policy's forward.
preprocess batch, update batch
 for agent_id, policy in self.policies.items():
            # This part of code is difficult to understand.
            # Let's follow an example with two agents
            # batch.obs.agent_id is [1, 2, 1, 2, 1, 2] (with batch_size == 6)
            # each agent plays for three transitions
            # agent_index for agent 1 is [0, 2, 4]
            # agent_index for agent 2 is [1, 3, 5]
            # we separate the transition of each agent according to agent_id
            agent_index = np.nonzero(batch.obs.agent_id == agent_id)[0]</t>
  </si>
  <si>
    <t>Dispatch batch data from obs.agent_id to every policy's forward.
separate the transition of each agent according to agent_id
policy coordination for MARL</t>
  </si>
  <si>
    <r>
      <rPr>
        <color rgb="FF1155CC"/>
        <u/>
      </rPr>
      <t>https://github.com/thu-ml/tianshou/tree/master/tianshou/algorithm  ;
https://github.com/thu-ml/tianshou/blob/master/tianshou/algorithm/algorithm_base.py</t>
    </r>
    <r>
      <rPr>
        <color rgb="FF000000"/>
      </rPr>
      <t xml:space="preserve"> </t>
    </r>
  </si>
  <si>
    <t>class Algorithm(torch.nn.Module, Generic[TPolicy, TTrainerParams], ABC):</t>
  </si>
  <si>
    <t>tianshou/algorithm (different algorithms in the folder)</t>
  </si>
  <si>
    <r>
      <rPr>
        <color rgb="FF1155CC"/>
        <u/>
      </rPr>
      <t>https://github.com/thu-ml/tianshou/blob/master/tianshou/algorithm/algorithm_base.py</t>
    </r>
    <r>
      <rPr/>
      <t xml:space="preserve"> </t>
    </r>
  </si>
  <si>
    <t>class Policy(nn.Module, ABC):
    """Represents a policy, which provides the fundamental mapping from observations to actions."""</t>
  </si>
  <si>
    <r>
      <rPr>
        <color rgb="FF1155CC"/>
        <u/>
      </rPr>
      <t>https://github.com/thu-ml/tianshou/blob/master/tianshou/data/buffer</t>
    </r>
    <r>
      <rPr/>
      <t xml:space="preserve"> ;
</t>
    </r>
    <r>
      <rPr>
        <color rgb="FF1155CC"/>
        <u/>
      </rPr>
      <t>https://github.com/thu-ml/tianshou/blob/master/tianshou/data/buffer/buffer_base.py</t>
    </r>
    <r>
      <rPr/>
      <t xml:space="preserve"> </t>
    </r>
  </si>
  <si>
    <t>class ReplayBuffer:
    """:class:`~tianshou.data.ReplayBuffer` stores data generated from interaction between the policy and environment.
    ReplayBuffer can be considered as a specialized form (or management) of Batch. It
    stores all the data in a batch with circular-queue style.</t>
  </si>
  <si>
    <r>
      <rPr>
        <color rgb="FF1155CC"/>
        <u/>
      </rPr>
      <t>https://github.com/thu-ml/tianshou/blob/master/tianshou/algorithm/algorithm_base.py</t>
    </r>
    <r>
      <rPr/>
      <t xml:space="preserve"> </t>
    </r>
  </si>
  <si>
    <t>class Optimizer:
        """Wrapper for a torch optimizer that optionally performs gradient clipping."""</t>
  </si>
  <si>
    <t>Optimizer has the same role as Learner</t>
  </si>
  <si>
    <r>
      <rPr>
        <color rgb="FF1155CC"/>
        <u/>
      </rPr>
      <t>https://github.com/thu-ml/tianshou/blob/master/tianshou/highlevel/persistence.py</t>
    </r>
    <r>
      <rPr/>
      <t xml:space="preserve"> </t>
    </r>
  </si>
  <si>
    <t>tianshou/highlevel/persistence.py
def get_save_checkpoint_fn(self, world: World) -&gt; Callable[[int, int, int], str] | None:
        if not self.enabled:
            return None
        def save_checkpoint_fn(epoch: int, env_step: int, gradient_step: int) -&gt; str:</t>
  </si>
  <si>
    <r>
      <rPr>
        <color rgb="FF1155CC"/>
        <u/>
      </rPr>
      <t>https://github.com/thu-ml/tianshou/blob/master/tianshou/highlevel/logger.py</t>
    </r>
    <r>
      <rPr/>
      <t xml:space="preserve"> </t>
    </r>
  </si>
  <si>
    <t>tianshou/highlevel/logger.py
from tianshou.utils import BaseLogger, TensorboardLogger, WandbLogger
"""A logger that relies on tensorboard SummaryWriter by default to visualize and log statistics.</t>
  </si>
  <si>
    <t>TensorboardLogger
WandbLogger</t>
  </si>
  <si>
    <t>TensorboardLogger</t>
  </si>
  <si>
    <t xml:space="preserve">https://github.com/thu-ml/tianshou/blob/master/tianshou/highlevel/logger.py </t>
  </si>
  <si>
    <t>tensorboard SummaryWriter</t>
  </si>
  <si>
    <t>Tensorboard SummaryWriter</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</si>
</sst>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color theme="1"/>
      <name val="Arial"/>
    </font>
    <font>
      <color theme="1"/>
      <name val="Arial"/>
      <scheme val="minor"/>
    </font>
    <font>
      <u/>
      <color rgb="FF0000FF"/>
    </font>
    <font>
      <u/>
      <color rgb="FF0000FF"/>
      <name val="Arial"/>
    </font>
    <font>
      <u/>
      <color rgb="FF0000FF"/>
      <name val="Arial"/>
    </font>
    <font>
      <u/>
      <color rgb="FF0000FF"/>
    </font>
    <font>
      <u/>
      <color rgb="FF1155CC"/>
      <name val="Arial"/>
    </font>
    <font>
      <color rgb="FF000000"/>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shrinkToFit="0" vertical="bottom" wrapText="1"/>
    </xf>
    <xf borderId="0" fillId="0" fontId="1"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readingOrder="0" shrinkToFit="0" vertical="bottom" wrapText="1"/>
    </xf>
    <xf borderId="0" fillId="0" fontId="1" numFmtId="0" xfId="0" applyAlignment="1" applyFont="1">
      <alignment horizontal="right" vertical="bottom"/>
    </xf>
    <xf borderId="0" fillId="2" fontId="1" numFmtId="0" xfId="0" applyAlignment="1" applyFill="1" applyFont="1">
      <alignment vertical="bottom"/>
    </xf>
    <xf borderId="0" fillId="0" fontId="3" numFmtId="0" xfId="0" applyAlignment="1" applyFont="1">
      <alignment shrinkToFit="0" wrapText="1"/>
    </xf>
    <xf borderId="0" fillId="0" fontId="4" numFmtId="0" xfId="0" applyAlignment="1" applyFont="1">
      <alignment readingOrder="0" shrinkToFit="0" wrapText="1"/>
    </xf>
    <xf borderId="0" fillId="0" fontId="3" numFmtId="0" xfId="0" applyAlignment="1" applyFont="1">
      <alignment readingOrder="0" shrinkToFit="0" wrapText="1"/>
    </xf>
    <xf borderId="0" fillId="0" fontId="5" numFmtId="0" xfId="0" applyAlignment="1" applyFont="1">
      <alignment readingOrder="0" shrinkToFit="0" vertical="bottom" wrapText="1"/>
    </xf>
    <xf borderId="0" fillId="0" fontId="3" numFmtId="0" xfId="0" applyAlignment="1" applyFont="1">
      <alignment readingOrder="0" shrinkToFit="0" wrapText="1"/>
    </xf>
    <xf borderId="0" fillId="0" fontId="6" numFmtId="0" xfId="0" applyAlignment="1" applyFont="1">
      <alignment shrinkToFit="0" vertical="bottom" wrapText="1"/>
    </xf>
    <xf borderId="0" fillId="0" fontId="7" numFmtId="0" xfId="0" applyAlignment="1" applyFont="1">
      <alignment readingOrder="0" shrinkToFit="0" wrapText="1"/>
    </xf>
    <xf borderId="0" fillId="0" fontId="8" numFmtId="0" xfId="0" applyAlignment="1" applyFont="1">
      <alignment shrinkToFit="0" vertical="bottom" wrapText="1"/>
    </xf>
    <xf borderId="0" fillId="0" fontId="9"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github.com/isaac-sim/IsaacGymEnvs/blob/main/isaacgymenvs/tasks/base/vec_task.py" TargetMode="External"/><Relationship Id="rId190" Type="http://schemas.openxmlformats.org/officeDocument/2006/relationships/hyperlink" Target="https://github.com/thu-ml/tianshou/blob/master/tianshou/algorithm/algorithm_base.py" TargetMode="External"/><Relationship Id="rId42" Type="http://schemas.openxmlformats.org/officeDocument/2006/relationships/hyperlink" Target="https://github.com/isaac-sim/IsaacGymEnvs/blob/main/isaacgymenvs/tasks/amp/poselib/poselib/core/backend/logger.py" TargetMode="External"/><Relationship Id="rId41" Type="http://schemas.openxmlformats.org/officeDocument/2006/relationships/hyperlink" Target="https://github.com/isaac-sim/IsaacGymEnvs/blob/main/isaacgymenvs/tasks/base/vec_task.py" TargetMode="External"/><Relationship Id="rId44" Type="http://schemas.openxmlformats.org/officeDocument/2006/relationships/hyperlink" Target="https://github.com/isaac-sim/IsaacLab/blob/main/docs/source/features/hydra.rst" TargetMode="External"/><Relationship Id="rId194" Type="http://schemas.openxmlformats.org/officeDocument/2006/relationships/drawing" Target="../drawings/drawing2.xml"/><Relationship Id="rId43" Type="http://schemas.openxmlformats.org/officeDocument/2006/relationships/hyperlink" Target="https://github.com/isaac-sim/IsaacGymEnvs/blob/main/isaacgymenvs/learning/common_agent.py" TargetMode="External"/><Relationship Id="rId193" Type="http://schemas.openxmlformats.org/officeDocument/2006/relationships/hyperlink" Target="https://github.com/thu-ml/tianshou/blob/master/tianshou/highlevel/logger.py" TargetMode="External"/><Relationship Id="rId46" Type="http://schemas.openxmlformats.org/officeDocument/2006/relationships/hyperlink" Target="https://github.com/isaac-sim/IsaacLab/blob/main/source/isaaclab/isaaclab/envs/direct_rl_env.py" TargetMode="External"/><Relationship Id="rId192" Type="http://schemas.openxmlformats.org/officeDocument/2006/relationships/hyperlink" Target="https://github.com/thu-ml/tianshou/blob/master/tianshou/highlevel/logger.py" TargetMode="External"/><Relationship Id="rId45" Type="http://schemas.openxmlformats.org/officeDocument/2006/relationships/hyperlink" Target="https://github.com/isaac-sim/IsaacLab/blob/main/source/isaaclab/isaaclab/envs/direct_marl_env.py" TargetMode="External"/><Relationship Id="rId191" Type="http://schemas.openxmlformats.org/officeDocument/2006/relationships/hyperlink" Target="https://github.com/thu-ml/tianshou/blob/master/tianshou/highlevel/persistence.py" TargetMode="External"/><Relationship Id="rId48" Type="http://schemas.openxmlformats.org/officeDocument/2006/relationships/hyperlink" Target="https://github.com/isaac-sim/IsaacLab/blob/main/source/isaaclab/isaaclab/sim/simulation_cfg.py" TargetMode="External"/><Relationship Id="rId187" Type="http://schemas.openxmlformats.org/officeDocument/2006/relationships/hyperlink" Target="https://github.com/thu-ml/tianshou/tree/master/tianshou/algorithm" TargetMode="External"/><Relationship Id="rId47" Type="http://schemas.openxmlformats.org/officeDocument/2006/relationships/hyperlink" Target="https://github.com/isaac-sim/IsaacLab/blob/main/source/isaaclab/isaaclab/envs/direct_rl_env.py" TargetMode="External"/><Relationship Id="rId186" Type="http://schemas.openxmlformats.org/officeDocument/2006/relationships/hyperlink" Target="https://github.com/thu-ml/tianshou/blob/master/tianshou/algorithm/multiagent/marl.py" TargetMode="External"/><Relationship Id="rId185" Type="http://schemas.openxmlformats.org/officeDocument/2006/relationships/hyperlink" Target="https://github.com/thu-ml/tianshou/blob/master/tianshou/highlevel/config.py" TargetMode="External"/><Relationship Id="rId49" Type="http://schemas.openxmlformats.org/officeDocument/2006/relationships/hyperlink" Target="https://github.com/isaac-sim/IsaacLab/blob/main/source/isaaclab/isaaclab/sim/simulation_context.py" TargetMode="External"/><Relationship Id="rId184" Type="http://schemas.openxmlformats.org/officeDocument/2006/relationships/hyperlink" Target="https://github.com/thu-ml/tianshou/blob/master/tianshou/trainer.py" TargetMode="External"/><Relationship Id="rId189" Type="http://schemas.openxmlformats.org/officeDocument/2006/relationships/hyperlink" Target="https://github.com/thu-ml/tianshou/blob/master/tianshou/data/buffer" TargetMode="External"/><Relationship Id="rId188" Type="http://schemas.openxmlformats.org/officeDocument/2006/relationships/hyperlink" Target="https://github.com/thu-ml/tianshou/blob/master/tianshou/algorithm/algorithm_base.py" TargetMode="External"/><Relationship Id="rId31" Type="http://schemas.openxmlformats.org/officeDocument/2006/relationships/hyperlink" Target="https://github.com/Unity-Technologies/ml-agents/blob/develop/com.unity.ml-agents/Runtime/EnvironmentParameters.cs" TargetMode="External"/><Relationship Id="rId30" Type="http://schemas.openxmlformats.org/officeDocument/2006/relationships/hyperlink" Target="https://github.com/Unity-Technologies/ml-agents/blob/develop/ml-agents/mlagents/trainers/policy/checkpoint_manager.py" TargetMode="External"/><Relationship Id="rId33" Type="http://schemas.openxmlformats.org/officeDocument/2006/relationships/hyperlink" Target="https://github.com/Unity-Technologies/ml-agents/blob/develop/ml-agents-envs/mlagents_envs/logging_util.py" TargetMode="External"/><Relationship Id="rId183" Type="http://schemas.openxmlformats.org/officeDocument/2006/relationships/hyperlink" Target="https://github.com/thu-ml/tianshou/blob/master/tianshou/trainer.py" TargetMode="External"/><Relationship Id="rId32" Type="http://schemas.openxmlformats.org/officeDocument/2006/relationships/hyperlink" Target="https://github.com/Unity-Technologies/ml-agents/blob/develop/ml-agents-envs/mlagents_envs/envs/unity_gym_env.py" TargetMode="External"/><Relationship Id="rId182" Type="http://schemas.openxmlformats.org/officeDocument/2006/relationships/hyperlink" Target="https://github.com/thu-ml/tianshou/blob/master/tianshou/highlevel/experiment.py" TargetMode="External"/><Relationship Id="rId35" Type="http://schemas.openxmlformats.org/officeDocument/2006/relationships/hyperlink" Target="https://github.com/isaac-sim/IsaacGymEnvs/blob/main/isaacgymenvs/tasks/base/vec_task.py" TargetMode="External"/><Relationship Id="rId181" Type="http://schemas.openxmlformats.org/officeDocument/2006/relationships/hyperlink" Target="https://github.com/google/dopamine/blob/master/dopamine/continuous_domains/run_experiment.py" TargetMode="External"/><Relationship Id="rId34" Type="http://schemas.openxmlformats.org/officeDocument/2006/relationships/hyperlink" Target="https://github.com/Unity-Technologies/ml-agents/blob/develop/ml-agents/mlagents/trainers/stats.py" TargetMode="External"/><Relationship Id="rId180" Type="http://schemas.openxmlformats.org/officeDocument/2006/relationships/hyperlink" Target="https://github.com/google/dopamine/blob/master/dopamine/discrete_domains/logger.py" TargetMode="External"/><Relationship Id="rId37" Type="http://schemas.openxmlformats.org/officeDocument/2006/relationships/hyperlink" Target="https://github.com/isaac-sim/IsaacGymEnvs/blob/main/isaacgymenvs/tasks/base/vec_task.py" TargetMode="External"/><Relationship Id="rId176" Type="http://schemas.openxmlformats.org/officeDocument/2006/relationships/hyperlink" Target="https://github.com/google/dopamine/blob/master/dopamine/jax/replay_memory/replay_buffer.py" TargetMode="External"/><Relationship Id="rId36" Type="http://schemas.openxmlformats.org/officeDocument/2006/relationships/hyperlink" Target="https://github.com/isaac-sim/IsaacGymEnvs/blob/main/isaacgymenvs/tasks/base/vec_task.py" TargetMode="External"/><Relationship Id="rId175" Type="http://schemas.openxmlformats.org/officeDocument/2006/relationships/hyperlink" Target="https://github.com/google/dopamine/blob/master/dopamine/jax/agents/dqn/dqn_agent.py" TargetMode="External"/><Relationship Id="rId39" Type="http://schemas.openxmlformats.org/officeDocument/2006/relationships/hyperlink" Target="https://github.com/isaac-sim/IsaacGymEnvs/blob/main/docs/domain_randomization.md?plain=1" TargetMode="External"/><Relationship Id="rId174" Type="http://schemas.openxmlformats.org/officeDocument/2006/relationships/hyperlink" Target="https://github.com/google/dopamine/tree/master/dopamine/jax/agents" TargetMode="External"/><Relationship Id="rId38" Type="http://schemas.openxmlformats.org/officeDocument/2006/relationships/hyperlink" Target="https://github.com/isaac-sim/IsaacGymEnvs/blob/main/isaacgymenvs/tasks/base/vec_task.py" TargetMode="External"/><Relationship Id="rId173" Type="http://schemas.openxmlformats.org/officeDocument/2006/relationships/hyperlink" Target="https://github.com/google/dopamine/blob/master/dopamine/discrete_domains/run_experiment.py" TargetMode="External"/><Relationship Id="rId179" Type="http://schemas.openxmlformats.org/officeDocument/2006/relationships/hyperlink" Target="https://github.com/google/dopamine/blob/master/dopamine/utils/agent_visualizer.py" TargetMode="External"/><Relationship Id="rId178" Type="http://schemas.openxmlformats.org/officeDocument/2006/relationships/hyperlink" Target="https://github.com/google/dopamine/blob/master/dopamine/discrete_domains/checkpointer.py" TargetMode="External"/><Relationship Id="rId177" Type="http://schemas.openxmlformats.org/officeDocument/2006/relationships/hyperlink" Target="https://github.com/google/dopamine/blob/master/dopamine/labs/offline_rl/jax/offline_dqn_agent.py" TargetMode="External"/><Relationship Id="rId20" Type="http://schemas.openxmlformats.org/officeDocument/2006/relationships/hyperlink" Target="https://github.com/Unity-Technologies/ml-agents/blob/develop/ml-agents/mlagents/trainers/trainer_controller.py" TargetMode="External"/><Relationship Id="rId22" Type="http://schemas.openxmlformats.org/officeDocument/2006/relationships/hyperlink" Target="https://github.com/Unity-Technologies/ml-agents/blob/develop/com.unity.ml-agents/Runtime/Agent.cs" TargetMode="External"/><Relationship Id="rId21" Type="http://schemas.openxmlformats.org/officeDocument/2006/relationships/hyperlink" Target="https://github.com/Unity-Technologies/ml-agents/blob/develop/com.unity.ml-agents/Runtime/IMultiAgentGroup.cs" TargetMode="External"/><Relationship Id="rId24" Type="http://schemas.openxmlformats.org/officeDocument/2006/relationships/hyperlink" Target="https://github.com/Unity-Technologies/ml-agents/blob/develop/ml-agents/mlagents/trainers/buffer.py" TargetMode="External"/><Relationship Id="rId23" Type="http://schemas.openxmlformats.org/officeDocument/2006/relationships/hyperlink" Target="https://github.com/Unity-Technologies/ml-agents/blob/develop/com.unity.ml-agents/Runtime/Policies/IPolicy.cs" TargetMode="External"/><Relationship Id="rId26" Type="http://schemas.openxmlformats.org/officeDocument/2006/relationships/hyperlink" Target="https://github.com/Unity-Technologies/ml-agents/blob/develop/ml-agents-envs/mlagents_envs/base_env.py" TargetMode="External"/><Relationship Id="rId25" Type="http://schemas.openxmlformats.org/officeDocument/2006/relationships/hyperlink" Target="https://github.com/Unity-Technologies/ml-agents/blob/develop/ml-agents/mlagents/trainers/trainer/trainer.py" TargetMode="External"/><Relationship Id="rId28" Type="http://schemas.openxmlformats.org/officeDocument/2006/relationships/hyperlink" Target="https://github.com/Unity-Technologies/ml-agents/tree/develop" TargetMode="External"/><Relationship Id="rId27" Type="http://schemas.openxmlformats.org/officeDocument/2006/relationships/hyperlink" Target="https://github.com/Unity-Technologies/ml-agents/blob/develop/ml-agents-envs/mlagents_envs/base_env.py" TargetMode="External"/><Relationship Id="rId29" Type="http://schemas.openxmlformats.org/officeDocument/2006/relationships/hyperlink" Target="https://github.com/Unity-Technologies/ml-agents/blob/develop/ml-agents-envs/mlagents_envs/environment.py" TargetMode="External"/><Relationship Id="rId11" Type="http://schemas.openxmlformats.org/officeDocument/2006/relationships/hyperlink" Target="https://github.com/Farama-Foundation/PettingZoo/blob/master/pettingzoo/utils/env.py" TargetMode="External"/><Relationship Id="rId10" Type="http://schemas.openxmlformats.org/officeDocument/2006/relationships/hyperlink" Target="https://github.com/Farama-Foundation/PettingZoo/blob/master/pettingzoo/utils/env.py" TargetMode="External"/><Relationship Id="rId13" Type="http://schemas.openxmlformats.org/officeDocument/2006/relationships/hyperlink" Target="https://github.com/Farama-Foundation/PettingZoo/blob/master/pettingzoo/sisl/multiwalker/multiwalker_base.py" TargetMode="External"/><Relationship Id="rId12" Type="http://schemas.openxmlformats.org/officeDocument/2006/relationships/hyperlink" Target="https://github.com/Farama-Foundation/PettingZoo/blob/master/pettingzoo/mpe/_mpe_utils/core.py" TargetMode="External"/><Relationship Id="rId15" Type="http://schemas.openxmlformats.org/officeDocument/2006/relationships/hyperlink" Target="https://github.com/Farama-Foundation/PettingZoo/blob/master/pettingzoo/utils/save_observation.py" TargetMode="External"/><Relationship Id="rId14" Type="http://schemas.openxmlformats.org/officeDocument/2006/relationships/hyperlink" Target="https://github.com/Farama-Foundation/PettingZoo/blob/master/pettingzoo/sisl/multiwalker/multiwalker_base.py" TargetMode="External"/><Relationship Id="rId17" Type="http://schemas.openxmlformats.org/officeDocument/2006/relationships/hyperlink" Target="https://github.com/Farama-Foundation/PettingZoo/blob/master/pettingzoo/utils/average_total_reward.py" TargetMode="External"/><Relationship Id="rId16" Type="http://schemas.openxmlformats.org/officeDocument/2006/relationships/hyperlink" Target="https://github.com/Farama-Foundation/PettingZoo/blob/master/pettingzoo/utils/env_logger.py" TargetMode="External"/><Relationship Id="rId19" Type="http://schemas.openxmlformats.org/officeDocument/2006/relationships/hyperlink" Target="https://github.com/Unity-Technologies/ml-agents/blob/develop/ml-agents/mlagents/trainers/learn.py" TargetMode="External"/><Relationship Id="rId18" Type="http://schemas.openxmlformats.org/officeDocument/2006/relationships/hyperlink" Target="https://github.com/Unity-Technologies/ml-agents/blob/develop/ml-agents/mlagents/trainers/run_experiment.py" TargetMode="External"/><Relationship Id="rId84" Type="http://schemas.openxmlformats.org/officeDocument/2006/relationships/hyperlink" Target="https://github.com/DLR-RM/stable-baselines3/blob/master/stable_baselines3/sac/sac.py" TargetMode="External"/><Relationship Id="rId83" Type="http://schemas.openxmlformats.org/officeDocument/2006/relationships/hyperlink" Target="https://github.com/DLR-RM/stable-baselines3/blob/master/stable_baselines3/common/base_class.py" TargetMode="External"/><Relationship Id="rId86" Type="http://schemas.openxmlformats.org/officeDocument/2006/relationships/hyperlink" Target="https://github.com/DLR-RM/stable-baselines3/blob/master/stable_baselines3/common/buffers.py" TargetMode="External"/><Relationship Id="rId85" Type="http://schemas.openxmlformats.org/officeDocument/2006/relationships/hyperlink" Target="https://github.com/DLR-RM/stable-baselines3/blob/master/stable_baselines3/common/policies.py" TargetMode="External"/><Relationship Id="rId88" Type="http://schemas.openxmlformats.org/officeDocument/2006/relationships/hyperlink" Target="https://github.com/DLR-RM/stable-baselines3/blob/master/stable_baselines3/common/callbacks.py" TargetMode="External"/><Relationship Id="rId150" Type="http://schemas.openxmlformats.org/officeDocument/2006/relationships/hyperlink" Target="https://github.com/facebookresearch/BenchMARL/blob/main/benchmarl/algorithms/common.py" TargetMode="External"/><Relationship Id="rId87" Type="http://schemas.openxmlformats.org/officeDocument/2006/relationships/hyperlink" Target="https://github.com/DLR-RM/stable-baselines3/blob/master/stable_baselines3/common/on_policy_algorithm.py" TargetMode="External"/><Relationship Id="rId89" Type="http://schemas.openxmlformats.org/officeDocument/2006/relationships/hyperlink" Target="https://github.com/DLR-RM/stable-baselines3/blob/master/stable_baselines3/common/vec_env/vec_video_recorder.py" TargetMode="External"/><Relationship Id="rId80" Type="http://schemas.openxmlformats.org/officeDocument/2006/relationships/hyperlink" Target="https://github.com/instadeepai/jumanji/blob/main/jumanji/training/loggers.py" TargetMode="External"/><Relationship Id="rId82" Type="http://schemas.openxmlformats.org/officeDocument/2006/relationships/hyperlink" Target="https://github.com/DLR-RM/stable-baselines3/blob/master/stable_baselines3/common/base_class.py" TargetMode="External"/><Relationship Id="rId81" Type="http://schemas.openxmlformats.org/officeDocument/2006/relationships/hyperlink" Target="https://github.com/DLR-RM/stable-baselines3/blob/master/stable_baselines3/common/base_class.py" TargetMode="External"/><Relationship Id="rId1" Type="http://schemas.openxmlformats.org/officeDocument/2006/relationships/hyperlink" Target="https://github.com/Farama-Foundation/Gymnasium/blob/main/gymnasium/core.py" TargetMode="External"/><Relationship Id="rId2" Type="http://schemas.openxmlformats.org/officeDocument/2006/relationships/hyperlink" Target="https://github.com/Farama-Foundation/Gymnasium/blob/main/gymnasium/core.py" TargetMode="External"/><Relationship Id="rId3" Type="http://schemas.openxmlformats.org/officeDocument/2006/relationships/hyperlink" Target="https://github.com/Farama-Foundation/Gymnasium/blob/main/gymnasium/envs/mujoco/mujoco_env.py" TargetMode="External"/><Relationship Id="rId149" Type="http://schemas.openxmlformats.org/officeDocument/2006/relationships/hyperlink" Target="https://github.com/facebookresearch/BenchMARL/blob/main/benchmarl/algorithms/iql.py" TargetMode="External"/><Relationship Id="rId4" Type="http://schemas.openxmlformats.org/officeDocument/2006/relationships/hyperlink" Target="https://github.com/Farama-Foundation/Gymnasium/blob/main/gymnasium/envs/mujoco/mujoco_env.py" TargetMode="External"/><Relationship Id="rId148" Type="http://schemas.openxmlformats.org/officeDocument/2006/relationships/hyperlink" Target="https://github.com/facebookresearch/BenchMARL/blob/main/benchmarl/run.py" TargetMode="External"/><Relationship Id="rId9" Type="http://schemas.openxmlformats.org/officeDocument/2006/relationships/hyperlink" Target="https://github.com/Farama-Foundation/PettingZoo/blob/master/pettingzoo/utils/agent_selector.py" TargetMode="External"/><Relationship Id="rId143" Type="http://schemas.openxmlformats.org/officeDocument/2006/relationships/hyperlink" Target="https://github.com/Replicable-MARL/MARLlib/blob/master/docs/source/handbook/quick_start.rst" TargetMode="External"/><Relationship Id="rId142" Type="http://schemas.openxmlformats.org/officeDocument/2006/relationships/hyperlink" Target="https://github.com/Replicable-MARL/MARLlib/blob/master/docs/source/handbook/quick_start.rst" TargetMode="External"/><Relationship Id="rId141" Type="http://schemas.openxmlformats.org/officeDocument/2006/relationships/hyperlink" Target="https://github.com/Replicable-MARL/MARLlib/blob/master/marllib/marl/algos/scripts/itrpo.py" TargetMode="External"/><Relationship Id="rId140" Type="http://schemas.openxmlformats.org/officeDocument/2006/relationships/hyperlink" Target="https://github.com/Replicable-MARL/MARLlib/blob/master/docs/source/handbook/architecture.rst" TargetMode="External"/><Relationship Id="rId5" Type="http://schemas.openxmlformats.org/officeDocument/2006/relationships/hyperlink" Target="https://github.com/Farama-Foundation/Gymnasium/blob/main/gymnasium/envs/mujoco/mujoco_rendering.py" TargetMode="External"/><Relationship Id="rId147" Type="http://schemas.openxmlformats.org/officeDocument/2006/relationships/hyperlink" Target="https://github.com/facebookresearch/BenchMARL/blob/main/benchmarl/experiment/experiment.py" TargetMode="External"/><Relationship Id="rId6" Type="http://schemas.openxmlformats.org/officeDocument/2006/relationships/hyperlink" Target="https://github.com/Farama-Foundation/Gymnasium/blob/main/gymnasium/wrappers/vector/rendering.py" TargetMode="External"/><Relationship Id="rId146" Type="http://schemas.openxmlformats.org/officeDocument/2006/relationships/hyperlink" Target="https://github.com/facebookresearch/BenchMARL/blob/main/benchmarl/experiment/experiment.py" TargetMode="External"/><Relationship Id="rId7" Type="http://schemas.openxmlformats.org/officeDocument/2006/relationships/hyperlink" Target="https://github.com/Farama-Foundation/Gymnasium/blob/main/gymnasium/logger.py" TargetMode="External"/><Relationship Id="rId145" Type="http://schemas.openxmlformats.org/officeDocument/2006/relationships/hyperlink" Target="https://github.com/facebookresearch/BenchMARL/blob/main/benchmarl/benchmark/benchmark.py" TargetMode="External"/><Relationship Id="rId8" Type="http://schemas.openxmlformats.org/officeDocument/2006/relationships/hyperlink" Target="https://github.com/Farama-Foundation/Gymnasium/blob/main/gymnasium/wrappers/vector/common.py" TargetMode="External"/><Relationship Id="rId144" Type="http://schemas.openxmlformats.org/officeDocument/2006/relationships/hyperlink" Target="https://github.com/facebookresearch/BenchMARL/blob/main/benchmarl/experiment/experiment.py" TargetMode="External"/><Relationship Id="rId73" Type="http://schemas.openxmlformats.org/officeDocument/2006/relationships/hyperlink" Target="https://github.com/Farama-Foundation/Arcade-Learning-Environment/blob/master/docs/visualization.md?plain=1" TargetMode="External"/><Relationship Id="rId72" Type="http://schemas.openxmlformats.org/officeDocument/2006/relationships/hyperlink" Target="https://github.com/Farama-Foundation/Arcade-Learning-Environment/blob/master/src/ale/python/env.py" TargetMode="External"/><Relationship Id="rId75" Type="http://schemas.openxmlformats.org/officeDocument/2006/relationships/hyperlink" Target="https://github.com/instadeepai/jumanji/blob/main/jumanji/env.py" TargetMode="External"/><Relationship Id="rId74" Type="http://schemas.openxmlformats.org/officeDocument/2006/relationships/hyperlink" Target="https://github.com/Farama-Foundation/Arcade-Learning-Environment/blob/master/src/ale/common/Log.cpp" TargetMode="External"/><Relationship Id="rId77" Type="http://schemas.openxmlformats.org/officeDocument/2006/relationships/hyperlink" Target="https://github.com/instadeepai/jumanji/blob/main/jumanji/environments/routing/connector/generator/base.py" TargetMode="External"/><Relationship Id="rId76" Type="http://schemas.openxmlformats.org/officeDocument/2006/relationships/hyperlink" Target="https://github.com/instadeepai/jumanji/blob/main/jumanji/env.py" TargetMode="External"/><Relationship Id="rId79" Type="http://schemas.openxmlformats.org/officeDocument/2006/relationships/hyperlink" Target="https://github.com/instadeepai/jumanji/blob/main/jumanji/env.py" TargetMode="External"/><Relationship Id="rId78" Type="http://schemas.openxmlformats.org/officeDocument/2006/relationships/hyperlink" Target="https://github.com/instadeepai/jumanji/blob/main/jumanji/training/loggers.py" TargetMode="External"/><Relationship Id="rId71" Type="http://schemas.openxmlformats.org/officeDocument/2006/relationships/hyperlink" Target="https://github.com/Farama-Foundation/Arcade-Learning-Environment/blob/master/src/ale/ale_interface.hpp" TargetMode="External"/><Relationship Id="rId70" Type="http://schemas.openxmlformats.org/officeDocument/2006/relationships/hyperlink" Target="https://github.com/Farama-Foundation/Arcade-Learning-Environment/blob/master/src/ale/ale_interface.hpp" TargetMode="External"/><Relationship Id="rId139" Type="http://schemas.openxmlformats.org/officeDocument/2006/relationships/hyperlink" Target="https://github.com/Replicable-MARL/MARLlib/blob/master/marllib/marl/algos/utils/episode_replay_buffer.py" TargetMode="External"/><Relationship Id="rId138" Type="http://schemas.openxmlformats.org/officeDocument/2006/relationships/hyperlink" Target="https://github.com/Replicable-MARL/MARLlib/blob/master/docs/source/handbook/architecture.rst" TargetMode="External"/><Relationship Id="rId137" Type="http://schemas.openxmlformats.org/officeDocument/2006/relationships/hyperlink" Target="https://github.com/Replicable-MARL/MARLlib/blob/master/docs/source/handbook/architecture.rst" TargetMode="External"/><Relationship Id="rId132" Type="http://schemas.openxmlformats.org/officeDocument/2006/relationships/hyperlink" Target="https://github.com/Replicable-MARL/MARLlib/blob/master/marllib/marl/__init__.py" TargetMode="External"/><Relationship Id="rId131" Type="http://schemas.openxmlformats.org/officeDocument/2006/relationships/hyperlink" Target="https://github.com/ray-project/ray/blob/master/python/ray/tune/tuner.py" TargetMode="External"/><Relationship Id="rId130" Type="http://schemas.openxmlformats.org/officeDocument/2006/relationships/hyperlink" Target="https://github.com/Replicable-MARL/MARLlib/blob/master/marllib/marl/__init__.py" TargetMode="External"/><Relationship Id="rId136" Type="http://schemas.openxmlformats.org/officeDocument/2006/relationships/hyperlink" Target="https://github.com/Replicable-MARL/MARLlib/blob/master/marllib/marl/algos/run_vd.py" TargetMode="External"/><Relationship Id="rId135" Type="http://schemas.openxmlformats.org/officeDocument/2006/relationships/hyperlink" Target="https://github.com/Replicable-MARL/MARLlib/blob/master/examples/customize_policy_sharing.py" TargetMode="External"/><Relationship Id="rId134" Type="http://schemas.openxmlformats.org/officeDocument/2006/relationships/hyperlink" Target="https://github.com/Replicable-MARL/MARLlib/blob/master/docs/source/handbook/architecture.rst" TargetMode="External"/><Relationship Id="rId133" Type="http://schemas.openxmlformats.org/officeDocument/2006/relationships/hyperlink" Target="https://github.com/Replicable-MARL/MARLlib/blob/master/docs/source/handbook/architecture.rst" TargetMode="External"/><Relationship Id="rId62" Type="http://schemas.openxmlformats.org/officeDocument/2006/relationships/hyperlink" Target="https://github.com/google-deepmind/lab" TargetMode="External"/><Relationship Id="rId61" Type="http://schemas.openxmlformats.org/officeDocument/2006/relationships/hyperlink" Target="https://github.com/google-deepmind/lab/blob/master/python/dmenv_module.py" TargetMode="External"/><Relationship Id="rId64" Type="http://schemas.openxmlformats.org/officeDocument/2006/relationships/hyperlink" Target="https://github.com/google-deepmind/lab/blob/master/engine/code/deepmind/dmlab_connect.c" TargetMode="External"/><Relationship Id="rId63" Type="http://schemas.openxmlformats.org/officeDocument/2006/relationships/hyperlink" Target="https://github.com/google-deepmind/lab/blob/master/python/dmlab_module.c" TargetMode="External"/><Relationship Id="rId66" Type="http://schemas.openxmlformats.org/officeDocument/2006/relationships/hyperlink" Target="https://github.com/google-deepmind/lab/blob/master/game_scripts/common/log.lua" TargetMode="External"/><Relationship Id="rId172" Type="http://schemas.openxmlformats.org/officeDocument/2006/relationships/hyperlink" Target="https://github.com/google/dopamine/blob/master/dopamine/discrete_domains/run_experiment.py" TargetMode="External"/><Relationship Id="rId65" Type="http://schemas.openxmlformats.org/officeDocument/2006/relationships/hyperlink" Target="https://github.com/google-deepmind/lab/blob/master/engine/code/deepmind/dmlab_recording.h" TargetMode="External"/><Relationship Id="rId171" Type="http://schemas.openxmlformats.org/officeDocument/2006/relationships/hyperlink" Target="https://github.com/google/dopamine/blob/master/dopamine/discrete_domains/run_experiment.py" TargetMode="External"/><Relationship Id="rId68" Type="http://schemas.openxmlformats.org/officeDocument/2006/relationships/hyperlink" Target="https://github.com/Farama-Foundation/Arcade-Learning-Environment/blob/master/src/ale/python/env.py" TargetMode="External"/><Relationship Id="rId170" Type="http://schemas.openxmlformats.org/officeDocument/2006/relationships/hyperlink" Target="https://github.com/google/dopamine/blob/master/dopamine/discrete_domains/run_experiment.py" TargetMode="External"/><Relationship Id="rId67" Type="http://schemas.openxmlformats.org/officeDocument/2006/relationships/hyperlink" Target="https://github.com/Farama-Foundation/Arcade-Learning-Environment/blob/master/src/ale/python/env.py" TargetMode="External"/><Relationship Id="rId60" Type="http://schemas.openxmlformats.org/officeDocument/2006/relationships/hyperlink" Target="https://github.com/google-deepmind/dm_env/blob/master/dm_env/_environment.py" TargetMode="External"/><Relationship Id="rId165" Type="http://schemas.openxmlformats.org/officeDocument/2006/relationships/hyperlink" Target="https://github.com/instadeepai/Mava/blob/develop/mava/systems/sac/anakin/ff_isac.p" TargetMode="External"/><Relationship Id="rId69" Type="http://schemas.openxmlformats.org/officeDocument/2006/relationships/hyperlink" Target="https://github.com/Farama-Foundation/Arcade-Learning-Environment/tree/master" TargetMode="External"/><Relationship Id="rId164" Type="http://schemas.openxmlformats.org/officeDocument/2006/relationships/hyperlink" Target="https://github.com/instadeepai/Mava/tree/develop/mava/networks" TargetMode="External"/><Relationship Id="rId163" Type="http://schemas.openxmlformats.org/officeDocument/2006/relationships/hyperlink" Target="https://github.com/instadeepai/Mava/blob/develop/mava/systems/ppo/anakin/rec_mappo.py" TargetMode="External"/><Relationship Id="rId162" Type="http://schemas.openxmlformats.org/officeDocument/2006/relationships/hyperlink" Target="https://github.com/instadeepai/Mava/blob/develop/mava/systems/sac/anakin/ff_isac.py" TargetMode="External"/><Relationship Id="rId169" Type="http://schemas.openxmlformats.org/officeDocument/2006/relationships/hyperlink" Target="https://github.com/instadeepai/Mava/blob/develop/mava/utils/logger.py" TargetMode="External"/><Relationship Id="rId168" Type="http://schemas.openxmlformats.org/officeDocument/2006/relationships/hyperlink" Target="https://github.com/instadeepai/Mava/blob/develop/mava/utils/logger.py" TargetMode="External"/><Relationship Id="rId167" Type="http://schemas.openxmlformats.org/officeDocument/2006/relationships/hyperlink" Target="https://github.com/instadeepai/Mava/blob/develop/mava/utils/checkpointing.py" TargetMode="External"/><Relationship Id="rId166" Type="http://schemas.openxmlformats.org/officeDocument/2006/relationships/hyperlink" Target="https://github.com/instadeepai/Mava/blob/develop/mava/systems/sac/anakin/ff_isac.py" TargetMode="External"/><Relationship Id="rId51" Type="http://schemas.openxmlformats.org/officeDocument/2006/relationships/hyperlink" Target="https://github.com/isaac-sim/IsaacLab/blob/main/source/isaaclab/isaaclab/envs/manager_based_rl_env.py" TargetMode="External"/><Relationship Id="rId50" Type="http://schemas.openxmlformats.org/officeDocument/2006/relationships/hyperlink" Target="https://isaac-sim.github.io/IsaacLab/main/source/tutorials/03_envs/create_direct_rl_env.html" TargetMode="External"/><Relationship Id="rId53" Type="http://schemas.openxmlformats.org/officeDocument/2006/relationships/hyperlink" Target="https://github.com/isaac-sim/IsaacLab/blob/main/source/isaaclab/isaaclab/managers/recorder_manager.py" TargetMode="External"/><Relationship Id="rId52" Type="http://schemas.openxmlformats.org/officeDocument/2006/relationships/hyperlink" Target="https://github.com/isaac-sim/IsaacLab/blob/main/docs/source/how-to/record_video.rst" TargetMode="External"/><Relationship Id="rId55" Type="http://schemas.openxmlformats.org/officeDocument/2006/relationships/hyperlink" Target="https://github.com/google-deepmind/dm_control/blob/main/dm_control/rl/control.py" TargetMode="External"/><Relationship Id="rId161" Type="http://schemas.openxmlformats.org/officeDocument/2006/relationships/hyperlink" Target="https://github.com/instadeepai/Mava/tree/develop" TargetMode="External"/><Relationship Id="rId54" Type="http://schemas.openxmlformats.org/officeDocument/2006/relationships/hyperlink" Target="https://github.com/google-deepmind/dm_control/blob/main/dm_control/rl/control.py" TargetMode="External"/><Relationship Id="rId160" Type="http://schemas.openxmlformats.org/officeDocument/2006/relationships/hyperlink" Target="https://github.com/instadeepai/Mava/blob/develop/mava/systems/gpo/anakin/rec_magpo.py" TargetMode="External"/><Relationship Id="rId57" Type="http://schemas.openxmlformats.org/officeDocument/2006/relationships/hyperlink" Target="https://github.com/google-deepmind/dm_control/blob/main/dm_control/mujoco/wrapper/core.py" TargetMode="External"/><Relationship Id="rId56" Type="http://schemas.openxmlformats.org/officeDocument/2006/relationships/hyperlink" Target="https://github.com/google-deepmind/dm_control/tree/3e48d13386cd225d647f0241300e8a224805adbb" TargetMode="External"/><Relationship Id="rId159" Type="http://schemas.openxmlformats.org/officeDocument/2006/relationships/hyperlink" Target="https://github.com/instadeepai/Mava/tree/develop/mava/systems" TargetMode="External"/><Relationship Id="rId59" Type="http://schemas.openxmlformats.org/officeDocument/2006/relationships/hyperlink" Target="https://github.com/google-deepmind/dm_control/blob/main/dm_control/viewer/util.py" TargetMode="External"/><Relationship Id="rId154" Type="http://schemas.openxmlformats.org/officeDocument/2006/relationships/hyperlink" Target="https://github.com/facebookresearch/BenchMARL/blob/main/examples/checkpointing/reload_experiment.py" TargetMode="External"/><Relationship Id="rId58" Type="http://schemas.openxmlformats.org/officeDocument/2006/relationships/hyperlink" Target="https://github.com/google-deepmind/dm_control/tree/main/dm_control/viewer" TargetMode="External"/><Relationship Id="rId153" Type="http://schemas.openxmlformats.org/officeDocument/2006/relationships/hyperlink" Target="https://github.com/facebookresearch/BenchMARL/blob/main/benchmarl/algorithms/common.py" TargetMode="External"/><Relationship Id="rId152" Type="http://schemas.openxmlformats.org/officeDocument/2006/relationships/hyperlink" Target="https://github.com/facebookresearch/BenchMARL/blob/main/benchmarl/environments/common.py" TargetMode="External"/><Relationship Id="rId151" Type="http://schemas.openxmlformats.org/officeDocument/2006/relationships/hyperlink" Target="https://github.com/facebookresearch/BenchMARL/tree/main/benchmarl/models" TargetMode="External"/><Relationship Id="rId158" Type="http://schemas.openxmlformats.org/officeDocument/2006/relationships/hyperlink" Target="https://github.com/instadeepai/Mava/tree/develop/mava/systems" TargetMode="External"/><Relationship Id="rId157" Type="http://schemas.openxmlformats.org/officeDocument/2006/relationships/hyperlink" Target="https://github.com/facebookresearch/BenchMARL/blob/main/benchmarl/eval_results.py" TargetMode="External"/><Relationship Id="rId156" Type="http://schemas.openxmlformats.org/officeDocument/2006/relationships/hyperlink" Target="https://github.com/facebookresearch/BenchMARL/blob/main/benchmarl/experiment/logger.py" TargetMode="External"/><Relationship Id="rId155" Type="http://schemas.openxmlformats.org/officeDocument/2006/relationships/hyperlink" Target="https://github.com/facebookresearch/BenchMARL/blob/main/benchmarl/experiment/logger.py" TargetMode="External"/><Relationship Id="rId107" Type="http://schemas.openxmlformats.org/officeDocument/2006/relationships/hyperlink" Target="https://github.com/ray-project/ray/blob/master/rllib/algorithms/algorithm.py" TargetMode="External"/><Relationship Id="rId106" Type="http://schemas.openxmlformats.org/officeDocument/2006/relationships/hyperlink" Target="https://github.com/ray-project/ray/blob/master/python/ray/tune/tuner.py" TargetMode="External"/><Relationship Id="rId105" Type="http://schemas.openxmlformats.org/officeDocument/2006/relationships/hyperlink" Target="https://github.com/ray-project/ray/blob/master/rllib/algorithms/algorithm.py" TargetMode="External"/><Relationship Id="rId104" Type="http://schemas.openxmlformats.org/officeDocument/2006/relationships/hyperlink" Target="https://github.com/DLR-RM/rl-baselines3-zoo/tree/master/rl_zoo3/plots" TargetMode="External"/><Relationship Id="rId109" Type="http://schemas.openxmlformats.org/officeDocument/2006/relationships/hyperlink" Target="https://github.com/ray-project/ray/blob/master/rllib/algorithms/algorithm_config.py" TargetMode="External"/><Relationship Id="rId108" Type="http://schemas.openxmlformats.org/officeDocument/2006/relationships/hyperlink" Target="https://github.com/ray-project/ray/blob/master/rllib/env/env_runner.py" TargetMode="External"/><Relationship Id="rId103" Type="http://schemas.openxmlformats.org/officeDocument/2006/relationships/hyperlink" Target="https://github.com/DLR-RM/rl-baselines3-zoo/blob/master/rl_zoo3/callbacks.py" TargetMode="External"/><Relationship Id="rId102" Type="http://schemas.openxmlformats.org/officeDocument/2006/relationships/hyperlink" Target="https://github.com/DLR-RM/rl-baselines3-zoo/blob/master/rl_zoo3/record_training.py" TargetMode="External"/><Relationship Id="rId101" Type="http://schemas.openxmlformats.org/officeDocument/2006/relationships/hyperlink" Target="https://github.com/DLR-RM/rl-baselines3-zoo/blob/master/rl_zoo3/utils.py" TargetMode="External"/><Relationship Id="rId100" Type="http://schemas.openxmlformats.org/officeDocument/2006/relationships/hyperlink" Target="https://github.com/DLR-RM/rl-baselines3-zoo/blob/master/rl_zoo3/train.py" TargetMode="External"/><Relationship Id="rId129" Type="http://schemas.openxmlformats.org/officeDocument/2006/relationships/hyperlink" Target="https://github.com/google-deepmind/acme/blob/master/acme/utils/loggers/base.py" TargetMode="External"/><Relationship Id="rId128" Type="http://schemas.openxmlformats.org/officeDocument/2006/relationships/hyperlink" Target="https://github.com/google-deepmind/acme/blob/master/acme/wrappers/video.py" TargetMode="External"/><Relationship Id="rId127" Type="http://schemas.openxmlformats.org/officeDocument/2006/relationships/hyperlink" Target="https://github.com/google-deepmind/acme/blob/master/acme/tf/savers.py" TargetMode="External"/><Relationship Id="rId126" Type="http://schemas.openxmlformats.org/officeDocument/2006/relationships/hyperlink" Target="https://github.com/google-deepmind/acme/blob/master/acme/core.py" TargetMode="External"/><Relationship Id="rId121" Type="http://schemas.openxmlformats.org/officeDocument/2006/relationships/hyperlink" Target="https://github.com/google-deepmind/acme/blob/master/acme/environment_loop.py" TargetMode="External"/><Relationship Id="rId120" Type="http://schemas.openxmlformats.org/officeDocument/2006/relationships/hyperlink" Target="https://github.com/google-deepmind/acme/blob/master/acme/jax/experiments/run_experiment.py" TargetMode="External"/><Relationship Id="rId125" Type="http://schemas.openxmlformats.org/officeDocument/2006/relationships/hyperlink" Target="https://github.com/google-deepmind/acme/blob/master/acme/agents/replay.py" TargetMode="External"/><Relationship Id="rId124" Type="http://schemas.openxmlformats.org/officeDocument/2006/relationships/hyperlink" Target="https://github.com/google-deepmind/acme/blob/master/acme/core.py" TargetMode="External"/><Relationship Id="rId123" Type="http://schemas.openxmlformats.org/officeDocument/2006/relationships/hyperlink" Target="https://github.com/google-deepmind/acme/blob/master/acme/core.py" TargetMode="External"/><Relationship Id="rId122" Type="http://schemas.openxmlformats.org/officeDocument/2006/relationships/hyperlink" Target="https://github.com/google-deepmind/acme/blob/master/acme/core.py" TargetMode="External"/><Relationship Id="rId95" Type="http://schemas.openxmlformats.org/officeDocument/2006/relationships/hyperlink" Target="https://github.com/DLR-RM/rl-baselines3-zoo/blob/master/rl_zoo3/train.py" TargetMode="External"/><Relationship Id="rId94" Type="http://schemas.openxmlformats.org/officeDocument/2006/relationships/hyperlink" Target="https://github.com/DLR-RM/rl-baselines3-zoo/blob/master/rl_zoo3/exp_manager.py" TargetMode="External"/><Relationship Id="rId97" Type="http://schemas.openxmlformats.org/officeDocument/2006/relationships/hyperlink" Target="https://github.com/DLR-RM/rl-baselines3-zoo/blob/master/rl_zoo3/train.py" TargetMode="External"/><Relationship Id="rId96" Type="http://schemas.openxmlformats.org/officeDocument/2006/relationships/hyperlink" Target="https://github.com/DLR-RM/rl-baselines3-zoo/blob/master/rl_zoo3/train.py" TargetMode="External"/><Relationship Id="rId99" Type="http://schemas.openxmlformats.org/officeDocument/2006/relationships/hyperlink" Target="https://github.com/DLR-RM/rl-baselines3-zoo/blob/master/rl_zoo3/train.py" TargetMode="External"/><Relationship Id="rId98" Type="http://schemas.openxmlformats.org/officeDocument/2006/relationships/hyperlink" Target="https://github.com/DLR-RM/rl-baselines3-zoo/blob/master/rl_zoo3/train.py" TargetMode="External"/><Relationship Id="rId91" Type="http://schemas.openxmlformats.org/officeDocument/2006/relationships/hyperlink" Target="https://github.com/DLR-RM/stable-baselines3/blob/master/stable_baselines3/common/logger.py" TargetMode="External"/><Relationship Id="rId90" Type="http://schemas.openxmlformats.org/officeDocument/2006/relationships/hyperlink" Target="https://github.com/DLR-RM/stable-baselines3/blob/master/stable_baselines3/common/monitor.py" TargetMode="External"/><Relationship Id="rId93" Type="http://schemas.openxmlformats.org/officeDocument/2006/relationships/hyperlink" Target="https://github.com/DLR-RM/rl-baselines3-zoo/blob/master/rl_zoo3/exp_manager.py" TargetMode="External"/><Relationship Id="rId92" Type="http://schemas.openxmlformats.org/officeDocument/2006/relationships/hyperlink" Target="https://github.com/DLR-RM/rl-baselines3-zoo/blob/master/rl_zoo3/train.py" TargetMode="External"/><Relationship Id="rId118" Type="http://schemas.openxmlformats.org/officeDocument/2006/relationships/hyperlink" Target="https://github.com/ray-project/ray/blob/master/rllib/utils/metrics/ray_metrics.py" TargetMode="External"/><Relationship Id="rId117" Type="http://schemas.openxmlformats.org/officeDocument/2006/relationships/hyperlink" Target="https://github.com/ray-project/ray/blob/master/rllib/utils/error.py" TargetMode="External"/><Relationship Id="rId116" Type="http://schemas.openxmlformats.org/officeDocument/2006/relationships/hyperlink" Target="https://github.com/ray-project/ray/blob/master/rllib/utils/checkpoints.py" TargetMode="External"/><Relationship Id="rId115" Type="http://schemas.openxmlformats.org/officeDocument/2006/relationships/hyperlink" Target="https://github.com/ray-project/ray/blob/master/rllib/core/learner/learner.py" TargetMode="External"/><Relationship Id="rId119" Type="http://schemas.openxmlformats.org/officeDocument/2006/relationships/hyperlink" Target="https://github.com/google-deepmind/acme/blob/master/acme/jax/experiments/run_experiment.py" TargetMode="External"/><Relationship Id="rId110" Type="http://schemas.openxmlformats.org/officeDocument/2006/relationships/hyperlink" Target="https://github.com/ray-project/ray/blob/master/rllib/env/multi_agent_env.py" TargetMode="External"/><Relationship Id="rId114" Type="http://schemas.openxmlformats.org/officeDocument/2006/relationships/hyperlink" Target="https://github.com/ray-project/ray/blob/master/src/ray/common/buffer.h" TargetMode="External"/><Relationship Id="rId113" Type="http://schemas.openxmlformats.org/officeDocument/2006/relationships/hyperlink" Target="https://github.com/ray-project/ray/blob/master/rllib/core/rl_module/rl_module.py" TargetMode="External"/><Relationship Id="rId112" Type="http://schemas.openxmlformats.org/officeDocument/2006/relationships/hyperlink" Target="https://github.com/ray-project/ray/blob/master/rllib/core/learner/learner.py" TargetMode="External"/><Relationship Id="rId111" Type="http://schemas.openxmlformats.org/officeDocument/2006/relationships/hyperlink" Target="https://docs.ray.io/en/master/rllib/key-concepts.htm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0.13"/>
    <col customWidth="1" min="2" max="2" width="19.13"/>
  </cols>
  <sheetData>
    <row r="1">
      <c r="A1" s="1"/>
      <c r="B1" s="2"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3" t="s">
        <v>17</v>
      </c>
      <c r="T1" s="3" t="s">
        <v>18</v>
      </c>
      <c r="U1" s="1"/>
      <c r="V1" s="1"/>
      <c r="W1" s="1"/>
      <c r="X1" s="1"/>
      <c r="Y1" s="1"/>
      <c r="Z1" s="1"/>
    </row>
    <row r="2">
      <c r="A2" s="1"/>
      <c r="B2" s="2" t="s">
        <v>19</v>
      </c>
      <c r="C2" s="4" t="s">
        <v>20</v>
      </c>
      <c r="D2" s="4" t="s">
        <v>21</v>
      </c>
      <c r="E2" s="3" t="s">
        <v>22</v>
      </c>
      <c r="F2" s="3" t="s">
        <v>23</v>
      </c>
      <c r="G2" s="3" t="s">
        <v>24</v>
      </c>
      <c r="H2" s="3" t="s">
        <v>25</v>
      </c>
      <c r="I2" s="3" t="s">
        <v>26</v>
      </c>
      <c r="J2" s="3" t="s">
        <v>27</v>
      </c>
      <c r="K2" s="3" t="s">
        <v>28</v>
      </c>
      <c r="L2" s="3" t="s">
        <v>29</v>
      </c>
      <c r="M2" s="3" t="s">
        <v>30</v>
      </c>
      <c r="N2" s="3" t="s">
        <v>31</v>
      </c>
      <c r="O2" s="3" t="s">
        <v>32</v>
      </c>
      <c r="P2" s="3" t="s">
        <v>33</v>
      </c>
      <c r="Q2" s="3" t="s">
        <v>34</v>
      </c>
      <c r="R2" s="3" t="s">
        <v>35</v>
      </c>
      <c r="S2" s="3" t="s">
        <v>36</v>
      </c>
      <c r="T2" s="3" t="s">
        <v>37</v>
      </c>
      <c r="U2" s="1"/>
      <c r="V2" s="1"/>
      <c r="W2" s="1"/>
      <c r="X2" s="1"/>
      <c r="Y2" s="1"/>
      <c r="Z2" s="1"/>
    </row>
    <row r="3">
      <c r="A3" s="2" t="s">
        <v>38</v>
      </c>
      <c r="B3" s="2" t="s">
        <v>39</v>
      </c>
      <c r="C3" s="3" t="s">
        <v>40</v>
      </c>
      <c r="D3" s="3" t="s">
        <v>41</v>
      </c>
      <c r="E3" s="3" t="s">
        <v>42</v>
      </c>
      <c r="F3" s="3" t="s">
        <v>43</v>
      </c>
      <c r="G3" s="3" t="s">
        <v>44</v>
      </c>
      <c r="H3" s="3" t="s">
        <v>45</v>
      </c>
      <c r="I3" s="3" t="s">
        <v>46</v>
      </c>
      <c r="J3" s="3" t="s">
        <v>47</v>
      </c>
      <c r="K3" s="3" t="s">
        <v>48</v>
      </c>
      <c r="L3" s="3" t="s">
        <v>49</v>
      </c>
      <c r="M3" s="3" t="s">
        <v>50</v>
      </c>
      <c r="N3" s="3" t="s">
        <v>51</v>
      </c>
      <c r="O3" s="3" t="s">
        <v>52</v>
      </c>
      <c r="P3" s="3" t="s">
        <v>53</v>
      </c>
      <c r="Q3" s="3" t="s">
        <v>54</v>
      </c>
      <c r="R3" s="3" t="s">
        <v>55</v>
      </c>
      <c r="S3" s="3" t="s">
        <v>56</v>
      </c>
      <c r="T3" s="3" t="s">
        <v>57</v>
      </c>
      <c r="U3" s="1"/>
      <c r="V3" s="1"/>
      <c r="W3" s="1"/>
      <c r="X3" s="1"/>
      <c r="Y3" s="1"/>
      <c r="Z3" s="1"/>
    </row>
    <row r="4">
      <c r="A4" s="3" t="s">
        <v>58</v>
      </c>
      <c r="B4" s="3" t="s">
        <v>58</v>
      </c>
      <c r="C4" s="3" t="s">
        <v>59</v>
      </c>
      <c r="D4" s="3" t="s">
        <v>59</v>
      </c>
      <c r="E4" s="3" t="s">
        <v>59</v>
      </c>
      <c r="F4" s="3" t="s">
        <v>59</v>
      </c>
      <c r="G4" s="3" t="s">
        <v>59</v>
      </c>
      <c r="H4" s="3" t="s">
        <v>59</v>
      </c>
      <c r="I4" s="3" t="s">
        <v>59</v>
      </c>
      <c r="J4" s="3" t="s">
        <v>59</v>
      </c>
      <c r="K4" s="3" t="s">
        <v>59</v>
      </c>
      <c r="L4" s="3" t="s">
        <v>59</v>
      </c>
      <c r="M4" s="3" t="s">
        <v>60</v>
      </c>
      <c r="N4" s="3" t="s">
        <v>59</v>
      </c>
      <c r="O4" s="3" t="s">
        <v>59</v>
      </c>
      <c r="P4" s="3" t="s">
        <v>59</v>
      </c>
      <c r="Q4" s="3" t="s">
        <v>59</v>
      </c>
      <c r="R4" s="3" t="s">
        <v>59</v>
      </c>
      <c r="S4" s="3" t="s">
        <v>59</v>
      </c>
      <c r="T4" s="3" t="s">
        <v>59</v>
      </c>
      <c r="U4" s="1"/>
      <c r="V4" s="1"/>
      <c r="W4" s="1"/>
      <c r="X4" s="1"/>
      <c r="Y4" s="1"/>
      <c r="Z4" s="1"/>
    </row>
    <row r="5">
      <c r="A5" s="3" t="s">
        <v>58</v>
      </c>
      <c r="B5" s="3" t="s">
        <v>61</v>
      </c>
      <c r="C5" s="3" t="s">
        <v>59</v>
      </c>
      <c r="D5" s="3" t="s">
        <v>59</v>
      </c>
      <c r="E5" s="3" t="s">
        <v>60</v>
      </c>
      <c r="F5" s="3" t="s">
        <v>59</v>
      </c>
      <c r="G5" s="3" t="s">
        <v>59</v>
      </c>
      <c r="H5" s="3" t="s">
        <v>59</v>
      </c>
      <c r="I5" s="3" t="s">
        <v>59</v>
      </c>
      <c r="J5" s="3" t="s">
        <v>59</v>
      </c>
      <c r="K5" s="3" t="s">
        <v>59</v>
      </c>
      <c r="L5" s="3" t="s">
        <v>60</v>
      </c>
      <c r="M5" s="3" t="s">
        <v>62</v>
      </c>
      <c r="N5" s="3" t="s">
        <v>60</v>
      </c>
      <c r="O5" s="3" t="s">
        <v>60</v>
      </c>
      <c r="P5" s="3" t="s">
        <v>60</v>
      </c>
      <c r="Q5" s="3" t="s">
        <v>60</v>
      </c>
      <c r="R5" s="3" t="s">
        <v>60</v>
      </c>
      <c r="S5" s="3" t="s">
        <v>60</v>
      </c>
      <c r="T5" s="3" t="s">
        <v>62</v>
      </c>
      <c r="U5" s="1"/>
      <c r="V5" s="1"/>
      <c r="W5" s="1"/>
      <c r="X5" s="1"/>
      <c r="Y5" s="1"/>
      <c r="Z5" s="1"/>
    </row>
    <row r="6">
      <c r="A6" s="3" t="s">
        <v>58</v>
      </c>
      <c r="B6" s="3" t="s">
        <v>63</v>
      </c>
      <c r="C6" s="3" t="s">
        <v>59</v>
      </c>
      <c r="D6" s="3" t="s">
        <v>59</v>
      </c>
      <c r="E6" s="3" t="s">
        <v>59</v>
      </c>
      <c r="F6" s="3" t="s">
        <v>59</v>
      </c>
      <c r="G6" s="3" t="s">
        <v>59</v>
      </c>
      <c r="H6" s="3" t="s">
        <v>59</v>
      </c>
      <c r="I6" s="3" t="s">
        <v>59</v>
      </c>
      <c r="J6" s="3" t="s">
        <v>59</v>
      </c>
      <c r="K6" s="3" t="s">
        <v>59</v>
      </c>
      <c r="L6" s="3" t="s">
        <v>59</v>
      </c>
      <c r="M6" s="3" t="s">
        <v>64</v>
      </c>
      <c r="N6" s="3" t="s">
        <v>64</v>
      </c>
      <c r="O6" s="3" t="s">
        <v>59</v>
      </c>
      <c r="P6" s="3" t="s">
        <v>64</v>
      </c>
      <c r="Q6" s="3" t="s">
        <v>59</v>
      </c>
      <c r="R6" s="3" t="s">
        <v>59</v>
      </c>
      <c r="S6" s="3" t="s">
        <v>59</v>
      </c>
      <c r="T6" s="3" t="s">
        <v>59</v>
      </c>
      <c r="U6" s="1"/>
      <c r="V6" s="1"/>
      <c r="W6" s="1"/>
      <c r="X6" s="1"/>
      <c r="Y6" s="1"/>
      <c r="Z6" s="1"/>
    </row>
    <row r="7">
      <c r="A7" s="3" t="s">
        <v>58</v>
      </c>
      <c r="B7" s="3" t="s">
        <v>65</v>
      </c>
      <c r="C7" s="3" t="s">
        <v>59</v>
      </c>
      <c r="D7" s="3" t="s">
        <v>59</v>
      </c>
      <c r="E7" s="3" t="s">
        <v>59</v>
      </c>
      <c r="F7" s="3" t="s">
        <v>59</v>
      </c>
      <c r="G7" s="3" t="s">
        <v>59</v>
      </c>
      <c r="H7" s="3" t="s">
        <v>59</v>
      </c>
      <c r="I7" s="3" t="s">
        <v>59</v>
      </c>
      <c r="J7" s="3" t="s">
        <v>59</v>
      </c>
      <c r="K7" s="3" t="s">
        <v>59</v>
      </c>
      <c r="L7" s="3" t="s">
        <v>59</v>
      </c>
      <c r="M7" s="3" t="s">
        <v>59</v>
      </c>
      <c r="N7" s="3" t="s">
        <v>59</v>
      </c>
      <c r="O7" s="3" t="s">
        <v>59</v>
      </c>
      <c r="P7" s="3" t="s">
        <v>59</v>
      </c>
      <c r="Q7" s="3" t="s">
        <v>62</v>
      </c>
      <c r="R7" s="3" t="s">
        <v>59</v>
      </c>
      <c r="S7" s="3" t="s">
        <v>59</v>
      </c>
      <c r="T7" s="3" t="s">
        <v>59</v>
      </c>
      <c r="U7" s="1"/>
      <c r="V7" s="1"/>
      <c r="W7" s="1"/>
      <c r="X7" s="1"/>
      <c r="Y7" s="1"/>
      <c r="Z7" s="1"/>
    </row>
    <row r="8">
      <c r="A8" s="3" t="s">
        <v>66</v>
      </c>
      <c r="B8" s="3" t="s">
        <v>66</v>
      </c>
      <c r="C8" s="3" t="s">
        <v>59</v>
      </c>
      <c r="D8" s="3" t="s">
        <v>59</v>
      </c>
      <c r="E8" s="3" t="s">
        <v>60</v>
      </c>
      <c r="F8" s="3" t="s">
        <v>59</v>
      </c>
      <c r="G8" s="3" t="s">
        <v>59</v>
      </c>
      <c r="H8" s="3" t="s">
        <v>59</v>
      </c>
      <c r="I8" s="3" t="s">
        <v>59</v>
      </c>
      <c r="J8" s="3" t="s">
        <v>59</v>
      </c>
      <c r="K8" s="3" t="s">
        <v>59</v>
      </c>
      <c r="L8" s="3" t="s">
        <v>60</v>
      </c>
      <c r="M8" s="3" t="s">
        <v>64</v>
      </c>
      <c r="N8" s="3" t="s">
        <v>60</v>
      </c>
      <c r="O8" s="3" t="s">
        <v>60</v>
      </c>
      <c r="P8" s="3" t="s">
        <v>60</v>
      </c>
      <c r="Q8" s="3" t="s">
        <v>60</v>
      </c>
      <c r="R8" s="3" t="s">
        <v>60</v>
      </c>
      <c r="S8" s="3" t="s">
        <v>60</v>
      </c>
      <c r="T8" s="3" t="s">
        <v>62</v>
      </c>
      <c r="U8" s="1"/>
      <c r="V8" s="1"/>
      <c r="W8" s="1"/>
      <c r="X8" s="1"/>
      <c r="Y8" s="1"/>
      <c r="Z8" s="1"/>
    </row>
    <row r="9">
      <c r="A9" s="3" t="s">
        <v>66</v>
      </c>
      <c r="B9" s="3" t="s">
        <v>67</v>
      </c>
      <c r="C9" s="3" t="s">
        <v>59</v>
      </c>
      <c r="D9" s="3" t="s">
        <v>59</v>
      </c>
      <c r="E9" s="3" t="s">
        <v>62</v>
      </c>
      <c r="F9" s="3" t="s">
        <v>59</v>
      </c>
      <c r="G9" s="3" t="s">
        <v>59</v>
      </c>
      <c r="H9" s="3" t="s">
        <v>59</v>
      </c>
      <c r="I9" s="3" t="s">
        <v>59</v>
      </c>
      <c r="J9" s="3" t="s">
        <v>59</v>
      </c>
      <c r="K9" s="3" t="s">
        <v>59</v>
      </c>
      <c r="L9" s="3" t="s">
        <v>60</v>
      </c>
      <c r="M9" s="3" t="s">
        <v>64</v>
      </c>
      <c r="N9" s="3" t="s">
        <v>62</v>
      </c>
      <c r="O9" s="3" t="s">
        <v>62</v>
      </c>
      <c r="P9" s="3" t="s">
        <v>64</v>
      </c>
      <c r="Q9" s="3" t="s">
        <v>60</v>
      </c>
      <c r="R9" s="3" t="s">
        <v>60</v>
      </c>
      <c r="S9" s="3" t="s">
        <v>60</v>
      </c>
      <c r="T9" s="3" t="s">
        <v>60</v>
      </c>
      <c r="U9" s="1"/>
      <c r="V9" s="1"/>
      <c r="W9" s="1"/>
      <c r="X9" s="1"/>
      <c r="Y9" s="1"/>
      <c r="Z9" s="1"/>
    </row>
    <row r="10">
      <c r="A10" s="3" t="s">
        <v>66</v>
      </c>
      <c r="B10" s="3" t="s">
        <v>68</v>
      </c>
      <c r="C10" s="3" t="s">
        <v>59</v>
      </c>
      <c r="D10" s="3" t="s">
        <v>59</v>
      </c>
      <c r="E10" s="3" t="s">
        <v>59</v>
      </c>
      <c r="F10" s="3" t="s">
        <v>59</v>
      </c>
      <c r="G10" s="3" t="s">
        <v>64</v>
      </c>
      <c r="H10" s="3" t="s">
        <v>59</v>
      </c>
      <c r="I10" s="3" t="s">
        <v>59</v>
      </c>
      <c r="J10" s="3" t="s">
        <v>59</v>
      </c>
      <c r="K10" s="3" t="s">
        <v>59</v>
      </c>
      <c r="L10" s="3" t="s">
        <v>59</v>
      </c>
      <c r="M10" s="3" t="s">
        <v>59</v>
      </c>
      <c r="N10" s="3" t="s">
        <v>62</v>
      </c>
      <c r="O10" s="3" t="s">
        <v>59</v>
      </c>
      <c r="P10" s="3" t="s">
        <v>64</v>
      </c>
      <c r="Q10" s="3" t="s">
        <v>64</v>
      </c>
      <c r="R10" s="3" t="s">
        <v>64</v>
      </c>
      <c r="S10" s="3" t="s">
        <v>64</v>
      </c>
      <c r="T10" s="3" t="s">
        <v>62</v>
      </c>
      <c r="U10" s="1"/>
      <c r="V10" s="1"/>
      <c r="W10" s="1"/>
      <c r="X10" s="1"/>
      <c r="Y10" s="1"/>
      <c r="Z10" s="1"/>
    </row>
    <row r="11">
      <c r="A11" s="3" t="s">
        <v>66</v>
      </c>
      <c r="B11" s="3" t="s">
        <v>69</v>
      </c>
      <c r="C11" s="3" t="s">
        <v>59</v>
      </c>
      <c r="D11" s="3" t="s">
        <v>60</v>
      </c>
      <c r="E11" s="3" t="s">
        <v>62</v>
      </c>
      <c r="F11" s="3" t="s">
        <v>59</v>
      </c>
      <c r="G11" s="3" t="s">
        <v>60</v>
      </c>
      <c r="H11" s="3" t="s">
        <v>59</v>
      </c>
      <c r="I11" s="3" t="s">
        <v>59</v>
      </c>
      <c r="J11" s="3" t="s">
        <v>59</v>
      </c>
      <c r="K11" s="3" t="s">
        <v>59</v>
      </c>
      <c r="L11" s="3" t="s">
        <v>59</v>
      </c>
      <c r="M11" s="3" t="s">
        <v>59</v>
      </c>
      <c r="N11" s="3" t="s">
        <v>60</v>
      </c>
      <c r="O11" s="3" t="s">
        <v>59</v>
      </c>
      <c r="P11" s="3" t="s">
        <v>60</v>
      </c>
      <c r="Q11" s="3" t="s">
        <v>60</v>
      </c>
      <c r="R11" s="3" t="s">
        <v>59</v>
      </c>
      <c r="S11" s="3" t="s">
        <v>59</v>
      </c>
      <c r="T11" s="3" t="s">
        <v>60</v>
      </c>
      <c r="U11" s="1"/>
      <c r="V11" s="1"/>
      <c r="W11" s="1"/>
      <c r="X11" s="1"/>
      <c r="Y11" s="1"/>
      <c r="Z11" s="1"/>
    </row>
    <row r="12">
      <c r="A12" s="3" t="s">
        <v>66</v>
      </c>
      <c r="B12" s="3" t="s">
        <v>70</v>
      </c>
      <c r="C12" s="3" t="s">
        <v>59</v>
      </c>
      <c r="D12" s="3" t="s">
        <v>59</v>
      </c>
      <c r="E12" s="3" t="s">
        <v>59</v>
      </c>
      <c r="F12" s="3" t="s">
        <v>59</v>
      </c>
      <c r="G12" s="3" t="s">
        <v>59</v>
      </c>
      <c r="H12" s="3" t="s">
        <v>59</v>
      </c>
      <c r="I12" s="3" t="s">
        <v>59</v>
      </c>
      <c r="J12" s="3" t="s">
        <v>59</v>
      </c>
      <c r="K12" s="3" t="s">
        <v>59</v>
      </c>
      <c r="L12" s="3" t="s">
        <v>59</v>
      </c>
      <c r="M12" s="3" t="s">
        <v>59</v>
      </c>
      <c r="N12" s="3" t="s">
        <v>64</v>
      </c>
      <c r="O12" s="3" t="s">
        <v>64</v>
      </c>
      <c r="P12" s="3" t="s">
        <v>64</v>
      </c>
      <c r="Q12" s="3" t="s">
        <v>59</v>
      </c>
      <c r="R12" s="3" t="s">
        <v>60</v>
      </c>
      <c r="S12" s="3" t="s">
        <v>59</v>
      </c>
      <c r="T12" s="3" t="s">
        <v>59</v>
      </c>
      <c r="U12" s="1"/>
      <c r="V12" s="1"/>
      <c r="W12" s="1"/>
      <c r="X12" s="1"/>
      <c r="Y12" s="1"/>
      <c r="Z12" s="1"/>
    </row>
    <row r="13">
      <c r="A13" s="3" t="s">
        <v>71</v>
      </c>
      <c r="B13" s="3" t="s">
        <v>71</v>
      </c>
      <c r="C13" s="3" t="s">
        <v>59</v>
      </c>
      <c r="D13" s="3" t="s">
        <v>59</v>
      </c>
      <c r="E13" s="3" t="s">
        <v>62</v>
      </c>
      <c r="F13" s="3" t="s">
        <v>59</v>
      </c>
      <c r="G13" s="3" t="s">
        <v>59</v>
      </c>
      <c r="H13" s="3" t="s">
        <v>59</v>
      </c>
      <c r="I13" s="3" t="s">
        <v>59</v>
      </c>
      <c r="J13" s="3" t="s">
        <v>59</v>
      </c>
      <c r="K13" s="3" t="s">
        <v>59</v>
      </c>
      <c r="L13" s="3" t="s">
        <v>62</v>
      </c>
      <c r="M13" s="3" t="s">
        <v>64</v>
      </c>
      <c r="N13" s="3" t="s">
        <v>62</v>
      </c>
      <c r="O13" s="3" t="s">
        <v>62</v>
      </c>
      <c r="P13" s="3" t="s">
        <v>64</v>
      </c>
      <c r="Q13" s="3" t="s">
        <v>62</v>
      </c>
      <c r="R13" s="3" t="s">
        <v>62</v>
      </c>
      <c r="S13" s="3" t="s">
        <v>62</v>
      </c>
      <c r="T13" s="3" t="s">
        <v>62</v>
      </c>
      <c r="U13" s="1"/>
      <c r="V13" s="1"/>
      <c r="W13" s="1"/>
      <c r="X13" s="1"/>
      <c r="Y13" s="1"/>
      <c r="Z13" s="1"/>
    </row>
    <row r="14">
      <c r="A14" s="3" t="s">
        <v>71</v>
      </c>
      <c r="B14" s="3" t="s">
        <v>72</v>
      </c>
      <c r="C14" s="3" t="s">
        <v>59</v>
      </c>
      <c r="D14" s="3" t="s">
        <v>59</v>
      </c>
      <c r="E14" s="3" t="s">
        <v>62</v>
      </c>
      <c r="F14" s="3" t="s">
        <v>59</v>
      </c>
      <c r="G14" s="3" t="s">
        <v>59</v>
      </c>
      <c r="H14" s="3" t="s">
        <v>59</v>
      </c>
      <c r="I14" s="3" t="s">
        <v>59</v>
      </c>
      <c r="J14" s="3" t="s">
        <v>59</v>
      </c>
      <c r="K14" s="3" t="s">
        <v>59</v>
      </c>
      <c r="L14" s="3" t="s">
        <v>62</v>
      </c>
      <c r="M14" s="3" t="s">
        <v>64</v>
      </c>
      <c r="N14" s="3" t="s">
        <v>62</v>
      </c>
      <c r="O14" s="3" t="s">
        <v>62</v>
      </c>
      <c r="P14" s="3" t="s">
        <v>64</v>
      </c>
      <c r="Q14" s="3" t="s">
        <v>62</v>
      </c>
      <c r="R14" s="3" t="s">
        <v>60</v>
      </c>
      <c r="S14" s="3" t="s">
        <v>60</v>
      </c>
      <c r="T14" s="3" t="s">
        <v>62</v>
      </c>
      <c r="U14" s="1"/>
      <c r="V14" s="1"/>
      <c r="W14" s="1"/>
      <c r="X14" s="1"/>
      <c r="Y14" s="1"/>
      <c r="Z14" s="1"/>
    </row>
    <row r="15">
      <c r="A15" s="3" t="s">
        <v>71</v>
      </c>
      <c r="B15" s="3" t="s">
        <v>73</v>
      </c>
      <c r="C15" s="3" t="s">
        <v>59</v>
      </c>
      <c r="D15" s="3" t="s">
        <v>59</v>
      </c>
      <c r="E15" s="3" t="s">
        <v>62</v>
      </c>
      <c r="F15" s="3" t="s">
        <v>59</v>
      </c>
      <c r="G15" s="3" t="s">
        <v>59</v>
      </c>
      <c r="H15" s="3" t="s">
        <v>59</v>
      </c>
      <c r="I15" s="3" t="s">
        <v>59</v>
      </c>
      <c r="J15" s="3" t="s">
        <v>59</v>
      </c>
      <c r="K15" s="3" t="s">
        <v>59</v>
      </c>
      <c r="L15" s="3" t="s">
        <v>62</v>
      </c>
      <c r="M15" s="3" t="s">
        <v>64</v>
      </c>
      <c r="N15" s="3" t="s">
        <v>62</v>
      </c>
      <c r="O15" s="3" t="s">
        <v>64</v>
      </c>
      <c r="P15" s="3" t="s">
        <v>64</v>
      </c>
      <c r="Q15" s="3" t="s">
        <v>62</v>
      </c>
      <c r="R15" s="3" t="s">
        <v>64</v>
      </c>
      <c r="S15" s="3" t="s">
        <v>62</v>
      </c>
      <c r="T15" s="3" t="s">
        <v>62</v>
      </c>
      <c r="U15" s="1"/>
      <c r="V15" s="1"/>
      <c r="W15" s="1"/>
      <c r="X15" s="1"/>
      <c r="Y15" s="1"/>
      <c r="Z15" s="1"/>
    </row>
    <row r="16">
      <c r="A16" s="3" t="s">
        <v>71</v>
      </c>
      <c r="B16" s="3" t="s">
        <v>74</v>
      </c>
      <c r="C16" s="3" t="s">
        <v>59</v>
      </c>
      <c r="D16" s="3" t="s">
        <v>59</v>
      </c>
      <c r="E16" s="3" t="s">
        <v>60</v>
      </c>
      <c r="F16" s="3" t="s">
        <v>59</v>
      </c>
      <c r="G16" s="3" t="s">
        <v>59</v>
      </c>
      <c r="H16" s="3" t="s">
        <v>59</v>
      </c>
      <c r="I16" s="3" t="s">
        <v>59</v>
      </c>
      <c r="J16" s="3" t="s">
        <v>59</v>
      </c>
      <c r="K16" s="3" t="s">
        <v>59</v>
      </c>
      <c r="L16" s="3" t="s">
        <v>60</v>
      </c>
      <c r="M16" s="3" t="s">
        <v>64</v>
      </c>
      <c r="N16" s="3" t="s">
        <v>62</v>
      </c>
      <c r="O16" s="3" t="s">
        <v>62</v>
      </c>
      <c r="P16" s="3" t="s">
        <v>64</v>
      </c>
      <c r="Q16" s="3" t="s">
        <v>60</v>
      </c>
      <c r="R16" s="3" t="s">
        <v>60</v>
      </c>
      <c r="S16" s="3" t="s">
        <v>60</v>
      </c>
      <c r="T16" s="3" t="s">
        <v>62</v>
      </c>
      <c r="U16" s="1"/>
      <c r="V16" s="1"/>
      <c r="W16" s="1"/>
      <c r="X16" s="1"/>
      <c r="Y16" s="1"/>
      <c r="Z16" s="1"/>
    </row>
    <row r="17">
      <c r="A17" s="3" t="s">
        <v>75</v>
      </c>
      <c r="B17" s="3" t="s">
        <v>75</v>
      </c>
      <c r="C17" s="3" t="s">
        <v>62</v>
      </c>
      <c r="D17" s="3" t="s">
        <v>62</v>
      </c>
      <c r="E17" s="3" t="s">
        <v>62</v>
      </c>
      <c r="F17" s="3" t="s">
        <v>62</v>
      </c>
      <c r="G17" s="3" t="s">
        <v>62</v>
      </c>
      <c r="H17" s="3" t="s">
        <v>62</v>
      </c>
      <c r="I17" s="3" t="s">
        <v>62</v>
      </c>
      <c r="J17" s="3" t="s">
        <v>62</v>
      </c>
      <c r="K17" s="3" t="s">
        <v>62</v>
      </c>
      <c r="L17" s="3" t="s">
        <v>59</v>
      </c>
      <c r="M17" s="3" t="s">
        <v>59</v>
      </c>
      <c r="N17" s="3" t="s">
        <v>59</v>
      </c>
      <c r="O17" s="3" t="s">
        <v>59</v>
      </c>
      <c r="P17" s="3" t="s">
        <v>59</v>
      </c>
      <c r="Q17" s="3" t="s">
        <v>59</v>
      </c>
      <c r="R17" s="3" t="s">
        <v>59</v>
      </c>
      <c r="S17" s="3" t="s">
        <v>59</v>
      </c>
      <c r="T17" s="3" t="s">
        <v>59</v>
      </c>
      <c r="U17" s="1"/>
      <c r="V17" s="1"/>
      <c r="W17" s="1"/>
      <c r="X17" s="1"/>
      <c r="Y17" s="1"/>
      <c r="Z17" s="1"/>
    </row>
    <row r="18">
      <c r="A18" s="3" t="s">
        <v>75</v>
      </c>
      <c r="B18" s="3" t="s">
        <v>76</v>
      </c>
      <c r="C18" s="3" t="s">
        <v>62</v>
      </c>
      <c r="D18" s="3" t="s">
        <v>62</v>
      </c>
      <c r="E18" s="3" t="s">
        <v>62</v>
      </c>
      <c r="F18" s="3" t="s">
        <v>62</v>
      </c>
      <c r="G18" s="3" t="s">
        <v>62</v>
      </c>
      <c r="H18" s="3" t="s">
        <v>62</v>
      </c>
      <c r="I18" s="3" t="s">
        <v>62</v>
      </c>
      <c r="J18" s="3" t="s">
        <v>62</v>
      </c>
      <c r="K18" s="3" t="s">
        <v>62</v>
      </c>
      <c r="L18" s="3" t="s">
        <v>59</v>
      </c>
      <c r="M18" s="3" t="s">
        <v>59</v>
      </c>
      <c r="N18" s="3" t="s">
        <v>59</v>
      </c>
      <c r="O18" s="3" t="s">
        <v>59</v>
      </c>
      <c r="P18" s="3" t="s">
        <v>59</v>
      </c>
      <c r="Q18" s="3" t="s">
        <v>59</v>
      </c>
      <c r="R18" s="3" t="s">
        <v>59</v>
      </c>
      <c r="S18" s="3" t="s">
        <v>59</v>
      </c>
      <c r="T18" s="3" t="s">
        <v>59</v>
      </c>
      <c r="U18" s="1"/>
      <c r="V18" s="1"/>
      <c r="W18" s="1"/>
      <c r="X18" s="1"/>
      <c r="Y18" s="1"/>
      <c r="Z18" s="1"/>
    </row>
    <row r="19">
      <c r="A19" s="3" t="s">
        <v>75</v>
      </c>
      <c r="B19" s="3" t="s">
        <v>77</v>
      </c>
      <c r="C19" s="3" t="s">
        <v>60</v>
      </c>
      <c r="D19" s="3" t="s">
        <v>60</v>
      </c>
      <c r="E19" s="5" t="s">
        <v>62</v>
      </c>
      <c r="F19" s="5" t="s">
        <v>64</v>
      </c>
      <c r="G19" s="5" t="s">
        <v>64</v>
      </c>
      <c r="H19" s="5" t="s">
        <v>64</v>
      </c>
      <c r="I19" s="5" t="s">
        <v>64</v>
      </c>
      <c r="J19" s="5" t="s">
        <v>64</v>
      </c>
      <c r="K19" s="3" t="s">
        <v>60</v>
      </c>
      <c r="L19" s="3" t="s">
        <v>59</v>
      </c>
      <c r="M19" s="3" t="s">
        <v>59</v>
      </c>
      <c r="N19" s="3" t="s">
        <v>59</v>
      </c>
      <c r="O19" s="3" t="s">
        <v>59</v>
      </c>
      <c r="P19" s="3" t="s">
        <v>59</v>
      </c>
      <c r="Q19" s="3" t="s">
        <v>59</v>
      </c>
      <c r="R19" s="3" t="s">
        <v>59</v>
      </c>
      <c r="S19" s="3" t="s">
        <v>59</v>
      </c>
      <c r="T19" s="3" t="s">
        <v>59</v>
      </c>
      <c r="U19" s="1"/>
      <c r="V19" s="1"/>
      <c r="W19" s="1"/>
      <c r="X19" s="1"/>
      <c r="Y19" s="1"/>
      <c r="Z19" s="1"/>
    </row>
    <row r="20">
      <c r="A20" s="3" t="s">
        <v>75</v>
      </c>
      <c r="B20" s="3" t="s">
        <v>78</v>
      </c>
      <c r="C20" s="3" t="s">
        <v>60</v>
      </c>
      <c r="D20" s="3" t="s">
        <v>60</v>
      </c>
      <c r="E20" s="3" t="s">
        <v>62</v>
      </c>
      <c r="F20" s="3" t="s">
        <v>60</v>
      </c>
      <c r="G20" s="3" t="s">
        <v>62</v>
      </c>
      <c r="H20" s="3" t="s">
        <v>60</v>
      </c>
      <c r="I20" s="3" t="s">
        <v>62</v>
      </c>
      <c r="J20" s="3" t="s">
        <v>60</v>
      </c>
      <c r="K20" s="3" t="s">
        <v>59</v>
      </c>
      <c r="L20" s="3" t="s">
        <v>59</v>
      </c>
      <c r="M20" s="3" t="s">
        <v>59</v>
      </c>
      <c r="N20" s="3" t="s">
        <v>59</v>
      </c>
      <c r="O20" s="3" t="s">
        <v>59</v>
      </c>
      <c r="P20" s="3" t="s">
        <v>59</v>
      </c>
      <c r="Q20" s="3" t="s">
        <v>59</v>
      </c>
      <c r="R20" s="3" t="s">
        <v>59</v>
      </c>
      <c r="S20" s="3" t="s">
        <v>59</v>
      </c>
      <c r="T20" s="3" t="s">
        <v>59</v>
      </c>
      <c r="U20" s="1"/>
      <c r="V20" s="1"/>
      <c r="W20" s="1"/>
      <c r="X20" s="1"/>
      <c r="Y20" s="1"/>
      <c r="Z20" s="1"/>
    </row>
    <row r="21">
      <c r="A21" s="3" t="s">
        <v>79</v>
      </c>
      <c r="B21" s="3" t="s">
        <v>80</v>
      </c>
      <c r="C21" s="3" t="s">
        <v>59</v>
      </c>
      <c r="D21" s="3" t="s">
        <v>59</v>
      </c>
      <c r="E21" s="3" t="s">
        <v>62</v>
      </c>
      <c r="F21" s="3" t="s">
        <v>59</v>
      </c>
      <c r="G21" s="3" t="s">
        <v>59</v>
      </c>
      <c r="H21" s="3" t="s">
        <v>59</v>
      </c>
      <c r="I21" s="3" t="s">
        <v>59</v>
      </c>
      <c r="J21" s="3" t="s">
        <v>59</v>
      </c>
      <c r="K21" s="3" t="s">
        <v>60</v>
      </c>
      <c r="L21" s="3" t="s">
        <v>62</v>
      </c>
      <c r="M21" s="3" t="s">
        <v>62</v>
      </c>
      <c r="N21" s="3" t="s">
        <v>62</v>
      </c>
      <c r="O21" s="3" t="s">
        <v>62</v>
      </c>
      <c r="P21" s="3" t="s">
        <v>64</v>
      </c>
      <c r="Q21" s="3" t="s">
        <v>62</v>
      </c>
      <c r="R21" s="3" t="s">
        <v>64</v>
      </c>
      <c r="S21" s="3" t="s">
        <v>62</v>
      </c>
      <c r="T21" s="3" t="s">
        <v>62</v>
      </c>
      <c r="U21" s="1"/>
      <c r="V21" s="1"/>
      <c r="W21" s="1"/>
      <c r="X21" s="1"/>
      <c r="Y21" s="1"/>
      <c r="Z21" s="1"/>
    </row>
    <row r="22">
      <c r="A22" s="3" t="s">
        <v>79</v>
      </c>
      <c r="B22" s="3" t="s">
        <v>81</v>
      </c>
      <c r="C22" s="3" t="s">
        <v>59</v>
      </c>
      <c r="D22" s="3" t="s">
        <v>59</v>
      </c>
      <c r="E22" s="3" t="s">
        <v>62</v>
      </c>
      <c r="F22" s="3" t="s">
        <v>60</v>
      </c>
      <c r="G22" s="3" t="s">
        <v>60</v>
      </c>
      <c r="H22" s="3" t="s">
        <v>59</v>
      </c>
      <c r="I22" s="3" t="s">
        <v>59</v>
      </c>
      <c r="J22" s="3" t="s">
        <v>60</v>
      </c>
      <c r="K22" s="3" t="s">
        <v>59</v>
      </c>
      <c r="L22" s="3" t="s">
        <v>59</v>
      </c>
      <c r="M22" s="3" t="s">
        <v>59</v>
      </c>
      <c r="N22" s="3" t="s">
        <v>59</v>
      </c>
      <c r="O22" s="3" t="s">
        <v>59</v>
      </c>
      <c r="P22" s="3" t="s">
        <v>59</v>
      </c>
      <c r="Q22" s="3" t="s">
        <v>59</v>
      </c>
      <c r="R22" s="3" t="s">
        <v>59</v>
      </c>
      <c r="S22" s="3" t="s">
        <v>59</v>
      </c>
      <c r="T22" s="3" t="s">
        <v>59</v>
      </c>
      <c r="U22" s="1"/>
      <c r="V22" s="1"/>
      <c r="W22" s="1"/>
      <c r="X22" s="1"/>
      <c r="Y22" s="1"/>
      <c r="Z22" s="1"/>
    </row>
    <row r="23">
      <c r="A23" s="3" t="s">
        <v>82</v>
      </c>
      <c r="B23" s="3" t="s">
        <v>83</v>
      </c>
      <c r="C23" s="3" t="s">
        <v>62</v>
      </c>
      <c r="D23" s="5" t="s">
        <v>60</v>
      </c>
      <c r="E23" s="5" t="s">
        <v>60</v>
      </c>
      <c r="F23" s="3" t="s">
        <v>62</v>
      </c>
      <c r="G23" s="3" t="s">
        <v>62</v>
      </c>
      <c r="H23" s="3" t="s">
        <v>62</v>
      </c>
      <c r="I23" s="3" t="s">
        <v>62</v>
      </c>
      <c r="J23" s="5" t="s">
        <v>60</v>
      </c>
      <c r="K23" s="3" t="s">
        <v>62</v>
      </c>
      <c r="L23" s="3" t="s">
        <v>59</v>
      </c>
      <c r="M23" s="3" t="s">
        <v>59</v>
      </c>
      <c r="N23" s="3" t="s">
        <v>59</v>
      </c>
      <c r="O23" s="3" t="s">
        <v>59</v>
      </c>
      <c r="P23" s="3" t="s">
        <v>59</v>
      </c>
      <c r="Q23" s="3" t="s">
        <v>59</v>
      </c>
      <c r="R23" s="3" t="s">
        <v>59</v>
      </c>
      <c r="S23" s="3" t="s">
        <v>59</v>
      </c>
      <c r="T23" s="3" t="s">
        <v>59</v>
      </c>
      <c r="U23" s="1"/>
      <c r="V23" s="1"/>
      <c r="W23" s="1"/>
      <c r="X23" s="1"/>
      <c r="Y23" s="1"/>
      <c r="Z23" s="1"/>
    </row>
    <row r="24">
      <c r="A24" s="3" t="s">
        <v>82</v>
      </c>
      <c r="B24" s="3" t="s">
        <v>84</v>
      </c>
      <c r="C24" s="3" t="s">
        <v>62</v>
      </c>
      <c r="D24" s="3" t="s">
        <v>62</v>
      </c>
      <c r="E24" s="3" t="s">
        <v>59</v>
      </c>
      <c r="F24" s="3" t="s">
        <v>60</v>
      </c>
      <c r="G24" s="3" t="s">
        <v>62</v>
      </c>
      <c r="H24" s="3" t="s">
        <v>59</v>
      </c>
      <c r="I24" s="3" t="s">
        <v>62</v>
      </c>
      <c r="J24" s="3" t="s">
        <v>62</v>
      </c>
      <c r="K24" s="3" t="s">
        <v>59</v>
      </c>
      <c r="L24" s="3" t="s">
        <v>62</v>
      </c>
      <c r="M24" s="3" t="s">
        <v>62</v>
      </c>
      <c r="N24" s="3" t="s">
        <v>59</v>
      </c>
      <c r="O24" s="3" t="s">
        <v>62</v>
      </c>
      <c r="P24" s="3" t="s">
        <v>59</v>
      </c>
      <c r="Q24" s="3" t="s">
        <v>60</v>
      </c>
      <c r="R24" s="3" t="s">
        <v>59</v>
      </c>
      <c r="S24" s="3" t="s">
        <v>62</v>
      </c>
      <c r="T24" s="3" t="s">
        <v>59</v>
      </c>
      <c r="U24" s="1"/>
      <c r="V24" s="1"/>
      <c r="W24" s="1"/>
      <c r="X24" s="1"/>
      <c r="Y24" s="1"/>
      <c r="Z24" s="1"/>
    </row>
    <row r="25">
      <c r="A25" s="3" t="s">
        <v>82</v>
      </c>
      <c r="B25" s="3" t="s">
        <v>85</v>
      </c>
      <c r="C25" s="3" t="s">
        <v>62</v>
      </c>
      <c r="D25" s="3" t="s">
        <v>62</v>
      </c>
      <c r="E25" s="3" t="s">
        <v>62</v>
      </c>
      <c r="F25" s="3" t="s">
        <v>62</v>
      </c>
      <c r="G25" s="3" t="s">
        <v>62</v>
      </c>
      <c r="H25" s="3" t="s">
        <v>62</v>
      </c>
      <c r="I25" s="3" t="s">
        <v>62</v>
      </c>
      <c r="J25" s="3" t="s">
        <v>62</v>
      </c>
      <c r="K25" s="3" t="s">
        <v>62</v>
      </c>
      <c r="L25" s="3" t="s">
        <v>62</v>
      </c>
      <c r="M25" s="3" t="s">
        <v>62</v>
      </c>
      <c r="N25" s="3" t="s">
        <v>62</v>
      </c>
      <c r="O25" s="3" t="s">
        <v>62</v>
      </c>
      <c r="P25" s="3" t="s">
        <v>64</v>
      </c>
      <c r="Q25" s="3" t="s">
        <v>64</v>
      </c>
      <c r="R25" s="3" t="s">
        <v>64</v>
      </c>
      <c r="S25" s="3" t="s">
        <v>62</v>
      </c>
      <c r="T25" s="3" t="s">
        <v>64</v>
      </c>
      <c r="U25" s="1"/>
      <c r="V25" s="1"/>
      <c r="W25" s="1"/>
      <c r="X25" s="1"/>
      <c r="Y25" s="1"/>
      <c r="Z25" s="1"/>
    </row>
    <row r="26">
      <c r="A26" s="3" t="s">
        <v>82</v>
      </c>
      <c r="B26" s="3" t="s">
        <v>86</v>
      </c>
      <c r="C26" s="3" t="s">
        <v>62</v>
      </c>
      <c r="D26" s="3" t="s">
        <v>62</v>
      </c>
      <c r="E26" s="3" t="s">
        <v>64</v>
      </c>
      <c r="F26" s="3" t="s">
        <v>64</v>
      </c>
      <c r="G26" s="3" t="s">
        <v>59</v>
      </c>
      <c r="H26" s="3" t="s">
        <v>59</v>
      </c>
      <c r="I26" s="3" t="s">
        <v>59</v>
      </c>
      <c r="J26" s="3" t="s">
        <v>59</v>
      </c>
      <c r="K26" s="3" t="s">
        <v>59</v>
      </c>
      <c r="L26" s="3" t="s">
        <v>64</v>
      </c>
      <c r="M26" s="3" t="s">
        <v>62</v>
      </c>
      <c r="N26" s="3" t="s">
        <v>62</v>
      </c>
      <c r="O26" s="3" t="s">
        <v>59</v>
      </c>
      <c r="P26" s="3" t="s">
        <v>64</v>
      </c>
      <c r="Q26" s="3" t="s">
        <v>64</v>
      </c>
      <c r="R26" s="3" t="s">
        <v>64</v>
      </c>
      <c r="S26" s="3" t="s">
        <v>64</v>
      </c>
      <c r="T26" s="3" t="s">
        <v>64</v>
      </c>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6"/>
      <c r="D29" s="6"/>
      <c r="E29" s="1"/>
      <c r="F29" s="1"/>
      <c r="G29" s="6"/>
      <c r="H29" s="1"/>
      <c r="I29" s="1"/>
      <c r="J29" s="1"/>
      <c r="K29" s="1"/>
      <c r="L29" s="1"/>
      <c r="M29" s="1"/>
      <c r="N29" s="1"/>
      <c r="O29" s="1"/>
      <c r="P29" s="1"/>
      <c r="Q29" s="1"/>
      <c r="R29" s="1"/>
      <c r="S29" s="1"/>
      <c r="T29" s="1"/>
      <c r="U29" s="1"/>
      <c r="V29" s="1"/>
      <c r="W29" s="1"/>
      <c r="X29" s="1"/>
      <c r="Y29" s="1"/>
      <c r="Z29" s="1"/>
    </row>
    <row r="30">
      <c r="A30" s="1"/>
      <c r="B30" s="1"/>
      <c r="C30" s="6"/>
      <c r="D30" s="1"/>
      <c r="E30" s="1"/>
      <c r="F30" s="6"/>
      <c r="G30" s="1"/>
      <c r="H30" s="1"/>
      <c r="I30" s="1"/>
      <c r="J30" s="1"/>
      <c r="K30" s="1"/>
      <c r="L30" s="1"/>
      <c r="M30" s="1"/>
      <c r="N30" s="1"/>
      <c r="O30" s="1"/>
      <c r="P30" s="1"/>
      <c r="Q30" s="1"/>
      <c r="R30" s="1"/>
      <c r="S30" s="1"/>
      <c r="T30" s="1"/>
      <c r="U30" s="1"/>
      <c r="V30" s="1"/>
      <c r="W30" s="1"/>
      <c r="X30" s="1"/>
      <c r="Y30" s="1"/>
      <c r="Z30" s="1"/>
    </row>
    <row r="31">
      <c r="A31" s="1"/>
      <c r="B31" s="1"/>
      <c r="C31" s="6"/>
      <c r="D31" s="1"/>
      <c r="E31" s="6"/>
      <c r="F31" s="1"/>
      <c r="G31" s="1"/>
      <c r="H31" s="1"/>
      <c r="I31" s="1"/>
      <c r="J31" s="1"/>
      <c r="K31" s="1"/>
      <c r="L31" s="1"/>
      <c r="M31" s="1"/>
      <c r="N31" s="1"/>
      <c r="O31" s="1"/>
      <c r="P31" s="1"/>
      <c r="Q31" s="1"/>
      <c r="R31" s="1"/>
      <c r="S31" s="1"/>
      <c r="T31" s="1"/>
      <c r="U31" s="1"/>
      <c r="V31" s="1"/>
      <c r="W31" s="1"/>
      <c r="X31" s="1"/>
      <c r="Y31" s="1"/>
      <c r="Z31" s="1"/>
    </row>
    <row r="32">
      <c r="A32" s="1"/>
      <c r="B32" s="1"/>
      <c r="C32" s="6"/>
      <c r="D32" s="1"/>
      <c r="E32" s="1"/>
      <c r="F32" s="7"/>
      <c r="G32" s="1"/>
      <c r="H32" s="1"/>
      <c r="I32" s="1"/>
      <c r="J32" s="1"/>
      <c r="K32" s="1"/>
      <c r="L32" s="1"/>
      <c r="M32" s="1"/>
      <c r="N32" s="1"/>
      <c r="O32" s="1"/>
      <c r="P32" s="1"/>
      <c r="Q32" s="1"/>
      <c r="R32" s="1"/>
      <c r="S32" s="1"/>
      <c r="T32" s="1"/>
      <c r="U32" s="1"/>
      <c r="V32" s="1"/>
      <c r="W32" s="1"/>
      <c r="X32" s="1"/>
      <c r="Y32" s="1"/>
      <c r="Z32" s="1"/>
    </row>
    <row r="33">
      <c r="A33" s="1"/>
      <c r="B33" s="1"/>
      <c r="C33" s="6"/>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19.13"/>
    <col customWidth="1" min="4" max="4" width="15.88"/>
    <col customWidth="1" min="5" max="5" width="26.25"/>
    <col customWidth="1" min="6" max="6" width="47.63"/>
    <col customWidth="1" min="7" max="7" width="36.38"/>
    <col customWidth="1" min="8" max="8" width="18.13"/>
  </cols>
  <sheetData>
    <row r="1">
      <c r="A1" s="2" t="s">
        <v>0</v>
      </c>
      <c r="B1" s="2" t="s">
        <v>19</v>
      </c>
      <c r="C1" s="2" t="s">
        <v>39</v>
      </c>
      <c r="D1" s="2" t="s">
        <v>87</v>
      </c>
      <c r="E1" s="2" t="s">
        <v>88</v>
      </c>
      <c r="F1" s="2" t="s">
        <v>89</v>
      </c>
      <c r="G1" s="2" t="s">
        <v>90</v>
      </c>
      <c r="H1" s="2" t="s">
        <v>91</v>
      </c>
      <c r="I1" s="3"/>
      <c r="J1" s="3"/>
      <c r="K1" s="3"/>
      <c r="L1" s="3"/>
      <c r="M1" s="3"/>
      <c r="N1" s="3"/>
      <c r="O1" s="3"/>
      <c r="P1" s="3"/>
      <c r="Q1" s="3"/>
      <c r="R1" s="3"/>
      <c r="S1" s="3"/>
      <c r="T1" s="3"/>
      <c r="U1" s="3"/>
      <c r="V1" s="3"/>
      <c r="W1" s="3"/>
      <c r="X1" s="3"/>
      <c r="Y1" s="3"/>
      <c r="Z1" s="3"/>
    </row>
    <row r="2">
      <c r="A2" s="3" t="str">
        <f t="array" ref="A2">INDEX('final-RA-to-framework-summary'!$C$1:$T$1, 1, INT((ROW(A1)-1)/23)+1)</f>
        <v>F1</v>
      </c>
      <c r="B2" s="3" t="str">
        <f t="array" ref="B2">INDEX('final-RA-to-framework-summary'!$C$2:$T$2, 1, INT((ROW(B1)-1)/23)+1)</f>
        <v>Gymnasium</v>
      </c>
      <c r="C2" s="3" t="str">
        <f t="array" ref="C2">INDEX('final-RA-to-framework-summary'!$B$4:$B$26, MOD(ROW(A1)-1, 23)+1)</f>
        <v>Experiment Orchestrator</v>
      </c>
      <c r="D2" s="3" t="str">
        <f t="array" ref="D2">INDEX('final-RA-to-framework-summary'!$C$4:$Z$26, MOD(ROW(A1)-1, 23)+1, INT((ROW(A1)-1)/23)+1)</f>
        <v>not implemented</v>
      </c>
      <c r="E2" s="3"/>
      <c r="F2" s="3"/>
      <c r="G2" s="3"/>
      <c r="H2" s="3"/>
      <c r="I2" s="3"/>
      <c r="J2" s="3"/>
      <c r="K2" s="3"/>
      <c r="L2" s="3"/>
      <c r="M2" s="3"/>
      <c r="N2" s="3"/>
      <c r="O2" s="3"/>
      <c r="P2" s="3"/>
      <c r="Q2" s="3"/>
      <c r="R2" s="3"/>
      <c r="S2" s="3"/>
      <c r="T2" s="3"/>
      <c r="U2" s="3"/>
      <c r="V2" s="3"/>
      <c r="W2" s="3"/>
      <c r="X2" s="3"/>
      <c r="Y2" s="3"/>
      <c r="Z2" s="3"/>
    </row>
    <row r="3">
      <c r="A3" s="3" t="str">
        <f t="array" ref="A3">INDEX('final-RA-to-framework-summary'!$C$1:$T$1, 1, INT((ROW(A2)-1)/23)+1)</f>
        <v>F1</v>
      </c>
      <c r="B3" s="3" t="str">
        <f t="array" ref="B3">INDEX('final-RA-to-framework-summary'!$C$2:$T$2, 1, INT((ROW(B2)-1)/23)+1)</f>
        <v>Gymnasium</v>
      </c>
      <c r="C3" s="3" t="str">
        <f t="array" ref="C3">INDEX('final-RA-to-framework-summary'!$B$4:$B$26, MOD(ROW(A2)-1, 23)+1)</f>
        <v>Experiment Manager</v>
      </c>
      <c r="D3" s="3" t="str">
        <f t="array" ref="D3">INDEX('final-RA-to-framework-summary'!$C$4:$Z$26, MOD(ROW(A2)-1, 23)+1, INT((ROW(A2)-1)/23)+1)</f>
        <v>not implemented</v>
      </c>
      <c r="E3" s="3"/>
      <c r="F3" s="3"/>
      <c r="G3" s="3"/>
      <c r="H3" s="3"/>
      <c r="I3" s="3"/>
      <c r="J3" s="3"/>
      <c r="K3" s="3"/>
      <c r="L3" s="3"/>
      <c r="M3" s="3"/>
      <c r="N3" s="3"/>
      <c r="O3" s="3"/>
      <c r="P3" s="3"/>
      <c r="Q3" s="3"/>
      <c r="R3" s="3"/>
      <c r="S3" s="3"/>
      <c r="T3" s="3"/>
      <c r="U3" s="3"/>
      <c r="V3" s="3"/>
      <c r="W3" s="3"/>
      <c r="X3" s="3"/>
      <c r="Y3" s="3"/>
      <c r="Z3" s="3"/>
    </row>
    <row r="4">
      <c r="A4" s="3" t="str">
        <f t="array" ref="A4">INDEX('final-RA-to-framework-summary'!$C$1:$T$1, 1, INT((ROW(A3)-1)/23)+1)</f>
        <v>F1</v>
      </c>
      <c r="B4" s="3" t="str">
        <f t="array" ref="B4">INDEX('final-RA-to-framework-summary'!$C$2:$T$2, 1, INT((ROW(B3)-1)/23)+1)</f>
        <v>Gymnasium</v>
      </c>
      <c r="C4" s="3" t="str">
        <f t="array" ref="C4">INDEX('final-RA-to-framework-summary'!$B$4:$B$26, MOD(ROW(A3)-1, 23)+1)</f>
        <v>Hyperparameter Tuner</v>
      </c>
      <c r="D4" s="3" t="str">
        <f t="array" ref="D4">INDEX('final-RA-to-framework-summary'!$C$4:$Z$26, MOD(ROW(A3)-1, 23)+1, INT((ROW(A3)-1)/23)+1)</f>
        <v>not implemented</v>
      </c>
      <c r="E4" s="8"/>
      <c r="F4" s="8"/>
      <c r="G4" s="8"/>
      <c r="H4" s="8"/>
      <c r="I4" s="8"/>
      <c r="J4" s="8"/>
      <c r="K4" s="8"/>
      <c r="L4" s="8"/>
      <c r="M4" s="8"/>
      <c r="N4" s="8"/>
      <c r="O4" s="8"/>
      <c r="P4" s="8"/>
      <c r="Q4" s="8"/>
      <c r="R4" s="8"/>
      <c r="S4" s="8"/>
      <c r="T4" s="8"/>
      <c r="U4" s="8"/>
      <c r="V4" s="8"/>
      <c r="W4" s="8"/>
      <c r="X4" s="8"/>
      <c r="Y4" s="8"/>
      <c r="Z4" s="8"/>
    </row>
    <row r="5">
      <c r="A5" s="3" t="str">
        <f t="array" ref="A5">INDEX('final-RA-to-framework-summary'!$C$1:$T$1, 1, INT((ROW(A4)-1)/23)+1)</f>
        <v>F1</v>
      </c>
      <c r="B5" s="3" t="str">
        <f t="array" ref="B5">INDEX('final-RA-to-framework-summary'!$C$2:$T$2, 1, INT((ROW(B4)-1)/23)+1)</f>
        <v>Gymnasium</v>
      </c>
      <c r="C5" s="3" t="str">
        <f t="array" ref="C5">INDEX('final-RA-to-framework-summary'!$B$4:$B$26, MOD(ROW(A4)-1, 23)+1)</f>
        <v>Benchmark Manager</v>
      </c>
      <c r="D5" s="3" t="str">
        <f t="array" ref="D5">INDEX('final-RA-to-framework-summary'!$C$4:$Z$26, MOD(ROW(A4)-1, 23)+1, INT((ROW(A4)-1)/23)+1)</f>
        <v>not implemented</v>
      </c>
      <c r="E5" s="8"/>
      <c r="F5" s="8"/>
      <c r="G5" s="8"/>
      <c r="H5" s="8"/>
      <c r="I5" s="8"/>
      <c r="J5" s="8"/>
      <c r="K5" s="8"/>
      <c r="L5" s="8"/>
      <c r="M5" s="8"/>
      <c r="N5" s="8"/>
      <c r="O5" s="8"/>
      <c r="P5" s="8"/>
      <c r="Q5" s="8"/>
      <c r="R5" s="8"/>
      <c r="S5" s="8"/>
      <c r="T5" s="8"/>
      <c r="U5" s="8"/>
      <c r="V5" s="8"/>
      <c r="W5" s="8"/>
      <c r="X5" s="8"/>
      <c r="Y5" s="8"/>
      <c r="Z5" s="8"/>
    </row>
    <row r="6">
      <c r="A6" s="3" t="str">
        <f t="array" ref="A6">INDEX('final-RA-to-framework-summary'!$C$1:$T$1, 1, INT((ROW(A5)-1)/23)+1)</f>
        <v>F1</v>
      </c>
      <c r="B6" s="3" t="str">
        <f t="array" ref="B6">INDEX('final-RA-to-framework-summary'!$C$2:$T$2, 1, INT((ROW(B5)-1)/23)+1)</f>
        <v>Gymnasium</v>
      </c>
      <c r="C6" s="3" t="str">
        <f t="array" ref="C6">INDEX('final-RA-to-framework-summary'!$B$4:$B$26, MOD(ROW(A5)-1, 23)+1)</f>
        <v>Framework Orchestrator</v>
      </c>
      <c r="D6" s="3" t="str">
        <f t="array" ref="D6">INDEX('final-RA-to-framework-summary'!$C$4:$Z$26, MOD(ROW(A5)-1, 23)+1, INT((ROW(A5)-1)/23)+1)</f>
        <v>not implemented</v>
      </c>
      <c r="E6" s="8"/>
      <c r="F6" s="8"/>
      <c r="G6" s="8"/>
      <c r="H6" s="8"/>
      <c r="I6" s="8"/>
      <c r="J6" s="8"/>
      <c r="K6" s="8"/>
      <c r="L6" s="8"/>
      <c r="M6" s="8"/>
      <c r="N6" s="8"/>
      <c r="O6" s="8"/>
      <c r="P6" s="8"/>
      <c r="Q6" s="8"/>
      <c r="R6" s="8"/>
      <c r="S6" s="8"/>
      <c r="T6" s="8"/>
      <c r="U6" s="8"/>
      <c r="V6" s="8"/>
      <c r="W6" s="8"/>
      <c r="X6" s="8"/>
      <c r="Y6" s="8"/>
      <c r="Z6" s="8"/>
    </row>
    <row r="7">
      <c r="A7" s="3" t="str">
        <f t="array" ref="A7">INDEX('final-RA-to-framework-summary'!$C$1:$T$1, 1, INT((ROW(A6)-1)/23)+1)</f>
        <v>F1</v>
      </c>
      <c r="B7" s="3" t="str">
        <f t="array" ref="B7">INDEX('final-RA-to-framework-summary'!$C$2:$T$2, 1, INT((ROW(B6)-1)/23)+1)</f>
        <v>Gymnasium</v>
      </c>
      <c r="C7" s="3" t="str">
        <f t="array" ref="C7">INDEX('final-RA-to-framework-summary'!$B$4:$B$26, MOD(ROW(A6)-1, 23)+1)</f>
        <v>Lifecycle Manager</v>
      </c>
      <c r="D7" s="3" t="str">
        <f t="array" ref="D7">INDEX('final-RA-to-framework-summary'!$C$4:$Z$26, MOD(ROW(A6)-1, 23)+1, INT((ROW(A6)-1)/23)+1)</f>
        <v>not implemented</v>
      </c>
      <c r="E7" s="8"/>
      <c r="F7" s="8"/>
      <c r="G7" s="8"/>
      <c r="H7" s="8"/>
      <c r="I7" s="8"/>
      <c r="J7" s="8"/>
      <c r="K7" s="8"/>
      <c r="L7" s="8"/>
      <c r="M7" s="8"/>
      <c r="N7" s="8"/>
      <c r="O7" s="8"/>
      <c r="P7" s="8"/>
      <c r="Q7" s="8"/>
      <c r="R7" s="8"/>
      <c r="S7" s="8"/>
      <c r="T7" s="8"/>
      <c r="U7" s="8"/>
      <c r="V7" s="8"/>
      <c r="W7" s="8"/>
      <c r="X7" s="8"/>
      <c r="Y7" s="8"/>
      <c r="Z7" s="8"/>
    </row>
    <row r="8">
      <c r="A8" s="3" t="str">
        <f t="array" ref="A8">INDEX('final-RA-to-framework-summary'!$C$1:$T$1, 1, INT((ROW(A7)-1)/23)+1)</f>
        <v>F1</v>
      </c>
      <c r="B8" s="3" t="str">
        <f t="array" ref="B8">INDEX('final-RA-to-framework-summary'!$C$2:$T$2, 1, INT((ROW(B7)-1)/23)+1)</f>
        <v>Gymnasium</v>
      </c>
      <c r="C8" s="3" t="str">
        <f t="array" ref="C8">INDEX('final-RA-to-framework-summary'!$B$4:$B$26, MOD(ROW(A7)-1, 23)+1)</f>
        <v>Configuration Manager</v>
      </c>
      <c r="D8" s="3" t="str">
        <f t="array" ref="D8">INDEX('final-RA-to-framework-summary'!$C$4:$Z$26, MOD(ROW(A7)-1, 23)+1, INT((ROW(A7)-1)/23)+1)</f>
        <v>not implemented</v>
      </c>
      <c r="E8" s="8"/>
      <c r="F8" s="8"/>
      <c r="G8" s="8"/>
      <c r="H8" s="8"/>
      <c r="I8" s="8"/>
      <c r="J8" s="8"/>
      <c r="K8" s="8"/>
      <c r="L8" s="8"/>
      <c r="M8" s="8"/>
      <c r="N8" s="8"/>
      <c r="O8" s="8"/>
      <c r="P8" s="8"/>
      <c r="Q8" s="8"/>
      <c r="R8" s="8"/>
      <c r="S8" s="8"/>
      <c r="T8" s="8"/>
      <c r="U8" s="8"/>
      <c r="V8" s="8"/>
      <c r="W8" s="8"/>
      <c r="X8" s="8"/>
      <c r="Y8" s="8"/>
      <c r="Z8" s="8"/>
    </row>
    <row r="9">
      <c r="A9" s="3" t="str">
        <f t="array" ref="A9">INDEX('final-RA-to-framework-summary'!$C$1:$T$1, 1, INT((ROW(A8)-1)/23)+1)</f>
        <v>F1</v>
      </c>
      <c r="B9" s="3" t="str">
        <f t="array" ref="B9">INDEX('final-RA-to-framework-summary'!$C$2:$T$2, 1, INT((ROW(B8)-1)/23)+1)</f>
        <v>Gymnasium</v>
      </c>
      <c r="C9" s="3" t="str">
        <f t="array" ref="C9">INDEX('final-RA-to-framework-summary'!$B$4:$B$26, MOD(ROW(A8)-1, 23)+1)</f>
        <v>Multi-Agent Coordinator</v>
      </c>
      <c r="D9" s="3" t="str">
        <f t="array" ref="D9">INDEX('final-RA-to-framework-summary'!$C$4:$Z$26, MOD(ROW(A8)-1, 23)+1, INT((ROW(A8)-1)/23)+1)</f>
        <v>not implemented</v>
      </c>
      <c r="E9" s="8"/>
      <c r="F9" s="8"/>
      <c r="G9" s="8"/>
      <c r="H9" s="8"/>
      <c r="I9" s="8"/>
      <c r="J9" s="8"/>
      <c r="K9" s="8"/>
      <c r="L9" s="8"/>
      <c r="M9" s="8"/>
      <c r="N9" s="8"/>
      <c r="O9" s="8"/>
      <c r="P9" s="8"/>
      <c r="Q9" s="8"/>
      <c r="R9" s="8"/>
      <c r="S9" s="8"/>
      <c r="T9" s="8"/>
      <c r="U9" s="8"/>
      <c r="V9" s="8"/>
      <c r="W9" s="8"/>
      <c r="X9" s="8"/>
      <c r="Y9" s="8"/>
      <c r="Z9" s="8"/>
    </row>
    <row r="10">
      <c r="A10" s="3" t="str">
        <f t="array" ref="A10">INDEX('final-RA-to-framework-summary'!$C$1:$T$1, 1, INT((ROW(A9)-1)/23)+1)</f>
        <v>F1</v>
      </c>
      <c r="B10" s="3" t="str">
        <f t="array" ref="B10">INDEX('final-RA-to-framework-summary'!$C$2:$T$2, 1, INT((ROW(B9)-1)/23)+1)</f>
        <v>Gymnasium</v>
      </c>
      <c r="C10" s="3" t="str">
        <f t="array" ref="C10">INDEX('final-RA-to-framework-summary'!$B$4:$B$26, MOD(ROW(A9)-1, 23)+1)</f>
        <v>Distributed Execution 
Coordinator</v>
      </c>
      <c r="D10" s="3" t="str">
        <f t="array" ref="D10">INDEX('final-RA-to-framework-summary'!$C$4:$Z$26, MOD(ROW(A9)-1, 23)+1, INT((ROW(A9)-1)/23)+1)</f>
        <v>not implemented</v>
      </c>
      <c r="E10" s="8"/>
      <c r="F10" s="8"/>
      <c r="G10" s="8"/>
      <c r="H10" s="8"/>
      <c r="I10" s="8"/>
      <c r="J10" s="8"/>
      <c r="K10" s="8"/>
      <c r="L10" s="8"/>
      <c r="M10" s="8"/>
      <c r="N10" s="8"/>
      <c r="O10" s="8"/>
      <c r="P10" s="8"/>
      <c r="Q10" s="8"/>
      <c r="R10" s="8"/>
      <c r="S10" s="8"/>
      <c r="T10" s="8"/>
      <c r="U10" s="8"/>
      <c r="V10" s="8"/>
      <c r="W10" s="8"/>
      <c r="X10" s="8"/>
      <c r="Y10" s="8"/>
      <c r="Z10" s="8"/>
    </row>
    <row r="11">
      <c r="A11" s="3" t="str">
        <f t="array" ref="A11">INDEX('final-RA-to-framework-summary'!$C$1:$T$1, 1, INT((ROW(A10)-1)/23)+1)</f>
        <v>F1</v>
      </c>
      <c r="B11" s="3" t="str">
        <f t="array" ref="B11">INDEX('final-RA-to-framework-summary'!$C$2:$T$2, 1, INT((ROW(B10)-1)/23)+1)</f>
        <v>Gymnasium</v>
      </c>
      <c r="C11" s="3" t="str">
        <f t="array" ref="C11">INDEX('final-RA-to-framework-summary'!$B$4:$B$26, MOD(ROW(A10)-1, 23)+1)</f>
        <v>Agent</v>
      </c>
      <c r="D11" s="3" t="str">
        <f t="array" ref="D11">INDEX('final-RA-to-framework-summary'!$C$4:$Z$26, MOD(ROW(A10)-1, 23)+1, INT((ROW(A10)-1)/23)+1)</f>
        <v>not implemented</v>
      </c>
      <c r="E11" s="8"/>
      <c r="F11" s="8"/>
      <c r="G11" s="8"/>
      <c r="H11" s="8"/>
      <c r="I11" s="8"/>
      <c r="J11" s="8"/>
      <c r="K11" s="8"/>
      <c r="L11" s="8"/>
      <c r="M11" s="8"/>
      <c r="N11" s="8"/>
      <c r="O11" s="8"/>
      <c r="P11" s="8"/>
      <c r="Q11" s="8"/>
      <c r="R11" s="8"/>
      <c r="S11" s="8"/>
      <c r="T11" s="8"/>
      <c r="U11" s="8"/>
      <c r="V11" s="8"/>
      <c r="W11" s="8"/>
      <c r="X11" s="8"/>
      <c r="Y11" s="8"/>
      <c r="Z11" s="8"/>
    </row>
    <row r="12">
      <c r="A12" s="3" t="str">
        <f t="array" ref="A12">INDEX('final-RA-to-framework-summary'!$C$1:$T$1, 1, INT((ROW(A11)-1)/23)+1)</f>
        <v>F1</v>
      </c>
      <c r="B12" s="3" t="str">
        <f t="array" ref="B12">INDEX('final-RA-to-framework-summary'!$C$2:$T$2, 1, INT((ROW(B11)-1)/23)+1)</f>
        <v>Gymnasium</v>
      </c>
      <c r="C12" s="3" t="str">
        <f t="array" ref="C12">INDEX('final-RA-to-framework-summary'!$B$4:$B$26, MOD(ROW(A11)-1, 23)+1)</f>
        <v>Function Approximator</v>
      </c>
      <c r="D12" s="3" t="str">
        <f t="array" ref="D12">INDEX('final-RA-to-framework-summary'!$C$4:$Z$26, MOD(ROW(A11)-1, 23)+1, INT((ROW(A11)-1)/23)+1)</f>
        <v>not implemented</v>
      </c>
      <c r="E12" s="8"/>
      <c r="F12" s="8"/>
      <c r="G12" s="8"/>
      <c r="H12" s="8"/>
      <c r="I12" s="8"/>
      <c r="J12" s="8"/>
      <c r="K12" s="8"/>
      <c r="L12" s="8"/>
      <c r="M12" s="8"/>
      <c r="N12" s="8"/>
      <c r="O12" s="8"/>
      <c r="P12" s="8"/>
      <c r="Q12" s="8"/>
      <c r="R12" s="8"/>
      <c r="S12" s="8"/>
      <c r="T12" s="8"/>
      <c r="U12" s="8"/>
      <c r="V12" s="8"/>
      <c r="W12" s="8"/>
      <c r="X12" s="8"/>
      <c r="Y12" s="8"/>
      <c r="Z12" s="8"/>
    </row>
    <row r="13">
      <c r="A13" s="3" t="str">
        <f t="array" ref="A13">INDEX('final-RA-to-framework-summary'!$C$1:$T$1, 1, INT((ROW(A12)-1)/23)+1)</f>
        <v>F1</v>
      </c>
      <c r="B13" s="3" t="str">
        <f t="array" ref="B13">INDEX('final-RA-to-framework-summary'!$C$2:$T$2, 1, INT((ROW(B12)-1)/23)+1)</f>
        <v>Gymnasium</v>
      </c>
      <c r="C13" s="3" t="str">
        <f t="array" ref="C13">INDEX('final-RA-to-framework-summary'!$B$4:$B$26, MOD(ROW(A12)-1, 23)+1)</f>
        <v>Buffer</v>
      </c>
      <c r="D13" s="3" t="str">
        <f t="array" ref="D13">INDEX('final-RA-to-framework-summary'!$C$4:$Z$26, MOD(ROW(A12)-1, 23)+1, INT((ROW(A12)-1)/23)+1)</f>
        <v>not implemented</v>
      </c>
      <c r="E13" s="8"/>
      <c r="F13" s="8"/>
      <c r="G13" s="8"/>
      <c r="H13" s="8"/>
      <c r="I13" s="8"/>
      <c r="J13" s="8"/>
      <c r="K13" s="8"/>
      <c r="L13" s="8"/>
      <c r="M13" s="8"/>
      <c r="N13" s="8"/>
      <c r="O13" s="8"/>
      <c r="P13" s="8"/>
      <c r="Q13" s="8"/>
      <c r="R13" s="8"/>
      <c r="S13" s="8"/>
      <c r="T13" s="8"/>
      <c r="U13" s="8"/>
      <c r="V13" s="8"/>
      <c r="W13" s="8"/>
      <c r="X13" s="8"/>
      <c r="Y13" s="8"/>
      <c r="Z13" s="8"/>
    </row>
    <row r="14">
      <c r="A14" s="3" t="str">
        <f t="array" ref="A14">INDEX('final-RA-to-framework-summary'!$C$1:$T$1, 1, INT((ROW(A13)-1)/23)+1)</f>
        <v>F1</v>
      </c>
      <c r="B14" s="3" t="str">
        <f t="array" ref="B14">INDEX('final-RA-to-framework-summary'!$C$2:$T$2, 1, INT((ROW(B13)-1)/23)+1)</f>
        <v>Gymnasium</v>
      </c>
      <c r="C14" s="3" t="str">
        <f t="array" ref="C14">INDEX('final-RA-to-framework-summary'!$B$4:$B$26, MOD(ROW(A13)-1, 23)+1)</f>
        <v>Learner</v>
      </c>
      <c r="D14" s="3" t="str">
        <f t="array" ref="D14">INDEX('final-RA-to-framework-summary'!$C$4:$Z$26, MOD(ROW(A13)-1, 23)+1, INT((ROW(A13)-1)/23)+1)</f>
        <v>not implemented</v>
      </c>
      <c r="E14" s="8"/>
      <c r="F14" s="8"/>
      <c r="G14" s="8"/>
      <c r="H14" s="8"/>
      <c r="I14" s="8"/>
      <c r="J14" s="8"/>
      <c r="K14" s="8"/>
      <c r="L14" s="8"/>
      <c r="M14" s="8"/>
      <c r="N14" s="8"/>
      <c r="O14" s="8"/>
      <c r="P14" s="8"/>
      <c r="Q14" s="8"/>
      <c r="R14" s="8"/>
      <c r="S14" s="8"/>
      <c r="T14" s="8"/>
      <c r="U14" s="8"/>
      <c r="V14" s="8"/>
      <c r="W14" s="8"/>
      <c r="X14" s="8"/>
      <c r="Y14" s="8"/>
      <c r="Z14" s="8"/>
    </row>
    <row r="15">
      <c r="A15" s="3" t="str">
        <f t="array" ref="A15">INDEX('final-RA-to-framework-summary'!$C$1:$T$1, 1, INT((ROW(A14)-1)/23)+1)</f>
        <v>F1</v>
      </c>
      <c r="B15" s="3" t="str">
        <f t="array" ref="B15">INDEX('final-RA-to-framework-summary'!$C$2:$T$2, 1, INT((ROW(B14)-1)/23)+1)</f>
        <v>Gymnasium</v>
      </c>
      <c r="C15" s="3" t="str">
        <f t="array" ref="C15">INDEX('final-RA-to-framework-summary'!$B$4:$B$26, MOD(ROW(A14)-1, 23)+1)</f>
        <v>Environment</v>
      </c>
      <c r="D15" s="3" t="str">
        <f t="array" ref="D15">INDEX('final-RA-to-framework-summary'!$C$4:$Z$26, MOD(ROW(A14)-1, 23)+1, INT((ROW(A14)-1)/23)+1)</f>
        <v>explicit</v>
      </c>
      <c r="E15" s="9" t="s">
        <v>92</v>
      </c>
      <c r="F15" s="5" t="s">
        <v>93</v>
      </c>
      <c r="G15" s="10"/>
      <c r="H15" s="8"/>
      <c r="I15" s="8"/>
      <c r="J15" s="8"/>
      <c r="K15" s="8"/>
      <c r="L15" s="8"/>
      <c r="M15" s="8"/>
      <c r="N15" s="8"/>
      <c r="O15" s="8"/>
      <c r="P15" s="8"/>
      <c r="Q15" s="8"/>
      <c r="R15" s="8"/>
      <c r="S15" s="8"/>
      <c r="T15" s="8"/>
      <c r="U15" s="8"/>
      <c r="V15" s="8"/>
      <c r="W15" s="8"/>
      <c r="X15" s="8"/>
      <c r="Y15" s="8"/>
      <c r="Z15" s="8"/>
    </row>
    <row r="16">
      <c r="A16" s="3" t="str">
        <f t="array" ref="A16">INDEX('final-RA-to-framework-summary'!$C$1:$T$1, 1, INT((ROW(A15)-1)/23)+1)</f>
        <v>F1</v>
      </c>
      <c r="B16" s="3" t="str">
        <f t="array" ref="B16">INDEX('final-RA-to-framework-summary'!$C$2:$T$2, 1, INT((ROW(B15)-1)/23)+1)</f>
        <v>Gymnasium</v>
      </c>
      <c r="C16" s="3" t="str">
        <f t="array" ref="C16">INDEX('final-RA-to-framework-summary'!$B$4:$B$26, MOD(ROW(A15)-1, 23)+1)</f>
        <v>Environment Core</v>
      </c>
      <c r="D16" s="3" t="str">
        <f t="array" ref="D16">INDEX('final-RA-to-framework-summary'!$C$4:$Z$26, MOD(ROW(A15)-1, 23)+1, INT((ROW(A15)-1)/23)+1)</f>
        <v>explicit</v>
      </c>
      <c r="E16" s="11" t="s">
        <v>94</v>
      </c>
      <c r="F16" s="3" t="s">
        <v>95</v>
      </c>
      <c r="G16" s="5" t="s">
        <v>96</v>
      </c>
      <c r="H16" s="3"/>
      <c r="I16" s="3"/>
      <c r="J16" s="3"/>
      <c r="K16" s="3"/>
      <c r="L16" s="3"/>
      <c r="M16" s="3"/>
      <c r="N16" s="3"/>
      <c r="O16" s="3"/>
      <c r="P16" s="3"/>
      <c r="Q16" s="3"/>
      <c r="R16" s="3"/>
      <c r="S16" s="3"/>
      <c r="T16" s="3"/>
      <c r="U16" s="3"/>
      <c r="V16" s="3"/>
      <c r="W16" s="3"/>
      <c r="X16" s="3"/>
      <c r="Y16" s="3"/>
      <c r="Z16" s="3"/>
    </row>
    <row r="17">
      <c r="A17" s="3" t="str">
        <f t="array" ref="A17">INDEX('final-RA-to-framework-summary'!$C$1:$T$1, 1, INT((ROW(A16)-1)/23)+1)</f>
        <v>F1</v>
      </c>
      <c r="B17" s="3" t="str">
        <f t="array" ref="B17">INDEX('final-RA-to-framework-summary'!$C$2:$T$2, 1, INT((ROW(B16)-1)/23)+1)</f>
        <v>Gymnasium</v>
      </c>
      <c r="C17" s="3" t="str">
        <f t="array" ref="C17">INDEX('final-RA-to-framework-summary'!$B$4:$B$26, MOD(ROW(A16)-1, 23)+1)</f>
        <v>Simulator</v>
      </c>
      <c r="D17" s="3" t="str">
        <f t="array" ref="D17">INDEX('final-RA-to-framework-summary'!$C$4:$Z$26, MOD(ROW(A16)-1, 23)+1, INT((ROW(A16)-1)/23)+1)</f>
        <v>implicit</v>
      </c>
      <c r="E17" s="9" t="s">
        <v>97</v>
      </c>
      <c r="F17" s="10" t="s">
        <v>98</v>
      </c>
      <c r="G17" s="10" t="s">
        <v>99</v>
      </c>
      <c r="H17" s="8"/>
      <c r="I17" s="8"/>
      <c r="J17" s="8"/>
      <c r="K17" s="8"/>
      <c r="L17" s="8"/>
      <c r="M17" s="8"/>
      <c r="N17" s="8"/>
      <c r="O17" s="8"/>
      <c r="P17" s="8"/>
      <c r="Q17" s="8"/>
      <c r="R17" s="8"/>
      <c r="S17" s="8"/>
      <c r="T17" s="8"/>
      <c r="U17" s="8"/>
      <c r="V17" s="8"/>
      <c r="W17" s="8"/>
      <c r="X17" s="8"/>
      <c r="Y17" s="8"/>
      <c r="Z17" s="8"/>
    </row>
    <row r="18">
      <c r="A18" s="3" t="str">
        <f t="array" ref="A18">INDEX('final-RA-to-framework-summary'!$C$1:$T$1, 1, INT((ROW(A17)-1)/23)+1)</f>
        <v>F1</v>
      </c>
      <c r="B18" s="3" t="str">
        <f t="array" ref="B18">INDEX('final-RA-to-framework-summary'!$C$2:$T$2, 1, INT((ROW(B17)-1)/23)+1)</f>
        <v>Gymnasium</v>
      </c>
      <c r="C18" s="3" t="str">
        <f t="array" ref="C18">INDEX('final-RA-to-framework-summary'!$B$4:$B$26, MOD(ROW(A17)-1, 23)+1)</f>
        <v>Simulator Adapter</v>
      </c>
      <c r="D18" s="3" t="str">
        <f t="array" ref="D18">INDEX('final-RA-to-framework-summary'!$C$4:$Z$26, MOD(ROW(A17)-1, 23)+1, INT((ROW(A17)-1)/23)+1)</f>
        <v>implicit</v>
      </c>
      <c r="E18" s="9" t="s">
        <v>100</v>
      </c>
      <c r="F18" s="10" t="s">
        <v>101</v>
      </c>
      <c r="G18" s="10" t="s">
        <v>102</v>
      </c>
      <c r="H18" s="8"/>
      <c r="I18" s="8"/>
      <c r="J18" s="8"/>
      <c r="K18" s="8"/>
      <c r="L18" s="8"/>
      <c r="M18" s="8"/>
      <c r="N18" s="8"/>
      <c r="O18" s="8"/>
      <c r="P18" s="8"/>
      <c r="Q18" s="8"/>
      <c r="R18" s="8"/>
      <c r="S18" s="8"/>
      <c r="T18" s="8"/>
      <c r="U18" s="8"/>
      <c r="V18" s="8"/>
      <c r="W18" s="8"/>
      <c r="X18" s="8"/>
      <c r="Y18" s="8"/>
      <c r="Z18" s="8"/>
    </row>
    <row r="19">
      <c r="A19" s="3" t="str">
        <f t="array" ref="A19">INDEX('final-RA-to-framework-summary'!$C$1:$T$1, 1, INT((ROW(A18)-1)/23)+1)</f>
        <v>F1</v>
      </c>
      <c r="B19" s="3" t="str">
        <f t="array" ref="B19">INDEX('final-RA-to-framework-summary'!$C$2:$T$2, 1, INT((ROW(B18)-1)/23)+1)</f>
        <v>Gymnasium</v>
      </c>
      <c r="C19" s="3" t="str">
        <f t="array" ref="C19">INDEX('final-RA-to-framework-summary'!$B$4:$B$26, MOD(ROW(A18)-1, 23)+1)</f>
        <v>Checkpoint Manager</v>
      </c>
      <c r="D19" s="3" t="str">
        <f t="array" ref="D19">INDEX('final-RA-to-framework-summary'!$C$4:$Z$26, MOD(ROW(A18)-1, 23)+1, INT((ROW(A18)-1)/23)+1)</f>
        <v>not implemented</v>
      </c>
      <c r="E19" s="8"/>
      <c r="F19" s="8"/>
      <c r="G19" s="8"/>
      <c r="H19" s="8"/>
      <c r="I19" s="8"/>
      <c r="J19" s="8"/>
      <c r="K19" s="8"/>
      <c r="L19" s="8"/>
      <c r="M19" s="8"/>
      <c r="N19" s="8"/>
      <c r="O19" s="8"/>
      <c r="P19" s="8"/>
      <c r="Q19" s="8"/>
      <c r="R19" s="8"/>
      <c r="S19" s="8"/>
      <c r="T19" s="8"/>
      <c r="U19" s="8"/>
      <c r="V19" s="8"/>
      <c r="W19" s="8"/>
      <c r="X19" s="8"/>
      <c r="Y19" s="8"/>
      <c r="Z19" s="8"/>
    </row>
    <row r="20">
      <c r="A20" s="3" t="str">
        <f t="array" ref="A20">INDEX('final-RA-to-framework-summary'!$C$1:$T$1, 1, INT((ROW(A19)-1)/23)+1)</f>
        <v>F1</v>
      </c>
      <c r="B20" s="3" t="str">
        <f t="array" ref="B20">INDEX('final-RA-to-framework-summary'!$C$2:$T$2, 1, INT((ROW(B19)-1)/23)+1)</f>
        <v>Gymnasium</v>
      </c>
      <c r="C20" s="3" t="str">
        <f t="array" ref="C20">INDEX('final-RA-to-framework-summary'!$B$4:$B$26, MOD(ROW(A19)-1, 23)+1)</f>
        <v>Environment Parameter 
Manager</v>
      </c>
      <c r="D20" s="3" t="str">
        <f t="array" ref="D20">INDEX('final-RA-to-framework-summary'!$C$4:$Z$26, MOD(ROW(A19)-1, 23)+1, INT((ROW(A19)-1)/23)+1)</f>
        <v>not implemented</v>
      </c>
      <c r="E20" s="8"/>
      <c r="F20" s="8"/>
      <c r="G20" s="8"/>
      <c r="H20" s="8"/>
      <c r="I20" s="8"/>
      <c r="J20" s="8"/>
      <c r="K20" s="8"/>
      <c r="L20" s="8"/>
      <c r="M20" s="8"/>
      <c r="N20" s="8"/>
      <c r="O20" s="8"/>
      <c r="P20" s="8"/>
      <c r="Q20" s="8"/>
      <c r="R20" s="8"/>
      <c r="S20" s="8"/>
      <c r="T20" s="8"/>
      <c r="U20" s="8"/>
      <c r="V20" s="8"/>
      <c r="W20" s="8"/>
      <c r="X20" s="8"/>
      <c r="Y20" s="8"/>
      <c r="Z20" s="8"/>
    </row>
    <row r="21">
      <c r="A21" s="3" t="str">
        <f t="array" ref="A21">INDEX('final-RA-to-framework-summary'!$C$1:$T$1, 1, INT((ROW(A20)-1)/23)+1)</f>
        <v>F1</v>
      </c>
      <c r="B21" s="3" t="str">
        <f t="array" ref="B21">INDEX('final-RA-to-framework-summary'!$C$2:$T$2, 1, INT((ROW(B20)-1)/23)+1)</f>
        <v>Gymnasium</v>
      </c>
      <c r="C21" s="3" t="str">
        <f t="array" ref="C21">INDEX('final-RA-to-framework-summary'!$B$4:$B$26, MOD(ROW(A20)-1, 23)+1)</f>
        <v>Renderer</v>
      </c>
      <c r="D21" s="3" t="str">
        <f t="array" ref="D21">INDEX('final-RA-to-framework-summary'!$C$4:$Z$26, MOD(ROW(A20)-1, 23)+1, INT((ROW(A20)-1)/23)+1)</f>
        <v>explicit</v>
      </c>
      <c r="E21" s="9" t="s">
        <v>103</v>
      </c>
      <c r="F21" s="10" t="s">
        <v>104</v>
      </c>
      <c r="G21" s="8"/>
      <c r="H21" s="8"/>
      <c r="I21" s="8"/>
      <c r="J21" s="8"/>
      <c r="K21" s="8"/>
      <c r="L21" s="8"/>
      <c r="M21" s="8"/>
      <c r="N21" s="8"/>
      <c r="O21" s="8"/>
      <c r="P21" s="8"/>
      <c r="Q21" s="8"/>
      <c r="R21" s="8"/>
      <c r="S21" s="8"/>
      <c r="T21" s="8"/>
      <c r="U21" s="8"/>
      <c r="V21" s="8"/>
      <c r="W21" s="8"/>
      <c r="X21" s="8"/>
      <c r="Y21" s="8"/>
      <c r="Z21" s="8"/>
    </row>
    <row r="22">
      <c r="A22" s="3" t="str">
        <f t="array" ref="A22">INDEX('final-RA-to-framework-summary'!$C$1:$T$1, 1, INT((ROW(A21)-1)/23)+1)</f>
        <v>F1</v>
      </c>
      <c r="B22" s="3" t="str">
        <f t="array" ref="B22">INDEX('final-RA-to-framework-summary'!$C$2:$T$2, 1, INT((ROW(B21)-1)/23)+1)</f>
        <v>Gymnasium</v>
      </c>
      <c r="C22" s="3" t="str">
        <f t="array" ref="C22">INDEX('final-RA-to-framework-summary'!$B$4:$B$26, MOD(ROW(A21)-1, 23)+1)</f>
        <v>Recorder</v>
      </c>
      <c r="D22" s="3" t="str">
        <f t="array" ref="D22">INDEX('final-RA-to-framework-summary'!$C$4:$Z$26, MOD(ROW(A21)-1, 23)+1, INT((ROW(A21)-1)/23)+1)</f>
        <v>explicit</v>
      </c>
      <c r="E22" s="9" t="s">
        <v>105</v>
      </c>
      <c r="F22" s="10" t="s">
        <v>106</v>
      </c>
      <c r="G22" s="8"/>
      <c r="H22" s="8"/>
      <c r="I22" s="8"/>
      <c r="J22" s="8"/>
      <c r="K22" s="8"/>
      <c r="L22" s="8"/>
      <c r="M22" s="8"/>
      <c r="N22" s="8"/>
      <c r="O22" s="8"/>
      <c r="P22" s="8"/>
      <c r="Q22" s="8"/>
      <c r="R22" s="8"/>
      <c r="S22" s="8"/>
      <c r="T22" s="8"/>
      <c r="U22" s="8"/>
      <c r="V22" s="8"/>
      <c r="W22" s="8"/>
      <c r="X22" s="8"/>
      <c r="Y22" s="8"/>
      <c r="Z22" s="8"/>
    </row>
    <row r="23">
      <c r="A23" s="3" t="str">
        <f t="array" ref="A23">INDEX('final-RA-to-framework-summary'!$C$1:$T$1, 1, INT((ROW(A22)-1)/23)+1)</f>
        <v>F1</v>
      </c>
      <c r="B23" s="3" t="str">
        <f t="array" ref="B23">INDEX('final-RA-to-framework-summary'!$C$2:$T$2, 1, INT((ROW(B22)-1)/23)+1)</f>
        <v>Gymnasium</v>
      </c>
      <c r="C23" s="3" t="str">
        <f t="array" ref="C23">INDEX('final-RA-to-framework-summary'!$B$4:$B$26, MOD(ROW(A22)-1, 23)+1)</f>
        <v>Logger</v>
      </c>
      <c r="D23" s="3" t="str">
        <f t="array" ref="D23">INDEX('final-RA-to-framework-summary'!$C$4:$Z$26, MOD(ROW(A22)-1, 23)+1, INT((ROW(A22)-1)/23)+1)</f>
        <v>explicit</v>
      </c>
      <c r="E23" s="9" t="s">
        <v>107</v>
      </c>
      <c r="F23" s="10" t="s">
        <v>108</v>
      </c>
      <c r="G23" s="8"/>
      <c r="H23" s="8"/>
      <c r="I23" s="8"/>
      <c r="J23" s="8"/>
      <c r="K23" s="8"/>
      <c r="L23" s="8"/>
      <c r="M23" s="8"/>
      <c r="N23" s="8"/>
      <c r="O23" s="8"/>
      <c r="P23" s="8"/>
      <c r="Q23" s="8"/>
      <c r="R23" s="8"/>
      <c r="S23" s="8"/>
      <c r="T23" s="8"/>
      <c r="U23" s="8"/>
      <c r="V23" s="8"/>
      <c r="W23" s="8"/>
      <c r="X23" s="8"/>
      <c r="Y23" s="8"/>
      <c r="Z23" s="8"/>
    </row>
    <row r="24">
      <c r="A24" s="3" t="str">
        <f t="array" ref="A24">INDEX('final-RA-to-framework-summary'!$C$1:$T$1, 1, INT((ROW(A23)-1)/23)+1)</f>
        <v>F1</v>
      </c>
      <c r="B24" s="3" t="str">
        <f t="array" ref="B24">INDEX('final-RA-to-framework-summary'!$C$2:$T$2, 1, INT((ROW(B23)-1)/23)+1)</f>
        <v>Gymnasium</v>
      </c>
      <c r="C24" s="3" t="str">
        <f t="array" ref="C24">INDEX('final-RA-to-framework-summary'!$B$4:$B$26, MOD(ROW(A23)-1, 23)+1)</f>
        <v>Reporter</v>
      </c>
      <c r="D24" s="3" t="str">
        <f t="array" ref="D24">INDEX('final-RA-to-framework-summary'!$C$4:$Z$26, MOD(ROW(A23)-1, 23)+1, INT((ROW(A23)-1)/23)+1)</f>
        <v>explicit</v>
      </c>
      <c r="E24" s="9" t="s">
        <v>109</v>
      </c>
      <c r="F24" s="10" t="s">
        <v>110</v>
      </c>
      <c r="G24" s="8"/>
      <c r="H24" s="8"/>
      <c r="I24" s="8"/>
      <c r="J24" s="8"/>
      <c r="K24" s="8"/>
      <c r="L24" s="8"/>
      <c r="M24" s="8"/>
      <c r="N24" s="8"/>
      <c r="O24" s="8"/>
      <c r="P24" s="8"/>
      <c r="Q24" s="8"/>
      <c r="R24" s="8"/>
      <c r="S24" s="8"/>
      <c r="T24" s="8"/>
      <c r="U24" s="8"/>
      <c r="V24" s="8"/>
      <c r="W24" s="8"/>
      <c r="X24" s="8"/>
      <c r="Y24" s="8"/>
      <c r="Z24" s="8"/>
    </row>
    <row r="25">
      <c r="A25" s="3" t="str">
        <f t="array" ref="A25">INDEX('final-RA-to-framework-summary'!$C$1:$T$1, 1, INT((ROW(A24)-1)/23)+1)</f>
        <v>F2</v>
      </c>
      <c r="B25" s="3" t="str">
        <f t="array" ref="B25">INDEX('final-RA-to-framework-summary'!$C$2:$T$2, 1, INT((ROW(B24)-1)/23)+1)</f>
        <v>PettingZoo</v>
      </c>
      <c r="C25" s="3" t="str">
        <f t="array" ref="C25">INDEX('final-RA-to-framework-summary'!$B$4:$B$26, MOD(ROW(A24)-1, 23)+1)</f>
        <v>Experiment Orchestrator</v>
      </c>
      <c r="D25" s="3" t="str">
        <f t="array" ref="D25">INDEX('final-RA-to-framework-summary'!$C$4:$Z$26, MOD(ROW(A24)-1, 23)+1, INT((ROW(A24)-1)/23)+1)</f>
        <v>not implemented</v>
      </c>
      <c r="E25" s="8"/>
      <c r="F25" s="8"/>
      <c r="G25" s="8"/>
      <c r="H25" s="8"/>
      <c r="I25" s="8"/>
      <c r="J25" s="8"/>
      <c r="K25" s="8"/>
      <c r="L25" s="8"/>
      <c r="M25" s="8"/>
      <c r="N25" s="8"/>
      <c r="O25" s="8"/>
      <c r="P25" s="8"/>
      <c r="Q25" s="8"/>
      <c r="R25" s="8"/>
      <c r="S25" s="8"/>
      <c r="T25" s="8"/>
      <c r="U25" s="8"/>
      <c r="V25" s="8"/>
      <c r="W25" s="8"/>
      <c r="X25" s="8"/>
      <c r="Y25" s="8"/>
      <c r="Z25" s="8"/>
    </row>
    <row r="26">
      <c r="A26" s="3" t="str">
        <f t="array" ref="A26">INDEX('final-RA-to-framework-summary'!$C$1:$T$1, 1, INT((ROW(A25)-1)/23)+1)</f>
        <v>F2</v>
      </c>
      <c r="B26" s="3" t="str">
        <f t="array" ref="B26">INDEX('final-RA-to-framework-summary'!$C$2:$T$2, 1, INT((ROW(B25)-1)/23)+1)</f>
        <v>PettingZoo</v>
      </c>
      <c r="C26" s="3" t="str">
        <f t="array" ref="C26">INDEX('final-RA-to-framework-summary'!$B$4:$B$26, MOD(ROW(A25)-1, 23)+1)</f>
        <v>Experiment Manager</v>
      </c>
      <c r="D26" s="3" t="str">
        <f t="array" ref="D26">INDEX('final-RA-to-framework-summary'!$C$4:$Z$26, MOD(ROW(A25)-1, 23)+1, INT((ROW(A25)-1)/23)+1)</f>
        <v>not implemented</v>
      </c>
      <c r="E26" s="8"/>
      <c r="F26" s="8"/>
      <c r="G26" s="8"/>
      <c r="H26" s="8"/>
      <c r="I26" s="8"/>
      <c r="J26" s="8"/>
      <c r="K26" s="8"/>
      <c r="L26" s="8"/>
      <c r="M26" s="8"/>
      <c r="N26" s="8"/>
      <c r="O26" s="8"/>
      <c r="P26" s="8"/>
      <c r="Q26" s="8"/>
      <c r="R26" s="8"/>
      <c r="S26" s="8"/>
      <c r="T26" s="8"/>
      <c r="U26" s="8"/>
      <c r="V26" s="8"/>
      <c r="W26" s="8"/>
      <c r="X26" s="8"/>
      <c r="Y26" s="8"/>
      <c r="Z26" s="8"/>
    </row>
    <row r="27">
      <c r="A27" s="3" t="str">
        <f t="array" ref="A27">INDEX('final-RA-to-framework-summary'!$C$1:$T$1, 1, INT((ROW(A26)-1)/23)+1)</f>
        <v>F2</v>
      </c>
      <c r="B27" s="3" t="str">
        <f t="array" ref="B27">INDEX('final-RA-to-framework-summary'!$C$2:$T$2, 1, INT((ROW(B26)-1)/23)+1)</f>
        <v>PettingZoo</v>
      </c>
      <c r="C27" s="3" t="str">
        <f t="array" ref="C27">INDEX('final-RA-to-framework-summary'!$B$4:$B$26, MOD(ROW(A26)-1, 23)+1)</f>
        <v>Hyperparameter Tuner</v>
      </c>
      <c r="D27" s="3" t="str">
        <f t="array" ref="D27">INDEX('final-RA-to-framework-summary'!$C$4:$Z$26, MOD(ROW(A26)-1, 23)+1, INT((ROW(A26)-1)/23)+1)</f>
        <v>not implemented</v>
      </c>
      <c r="E27" s="8"/>
      <c r="F27" s="8"/>
      <c r="G27" s="8"/>
      <c r="H27" s="8"/>
      <c r="I27" s="8"/>
      <c r="J27" s="8"/>
      <c r="K27" s="8"/>
      <c r="L27" s="8"/>
      <c r="M27" s="8"/>
      <c r="N27" s="8"/>
      <c r="O27" s="8"/>
      <c r="P27" s="8"/>
      <c r="Q27" s="8"/>
      <c r="R27" s="8"/>
      <c r="S27" s="8"/>
      <c r="T27" s="8"/>
      <c r="U27" s="8"/>
      <c r="V27" s="8"/>
      <c r="W27" s="8"/>
      <c r="X27" s="8"/>
      <c r="Y27" s="8"/>
      <c r="Z27" s="8"/>
    </row>
    <row r="28">
      <c r="A28" s="3" t="str">
        <f t="array" ref="A28">INDEX('final-RA-to-framework-summary'!$C$1:$T$1, 1, INT((ROW(A27)-1)/23)+1)</f>
        <v>F2</v>
      </c>
      <c r="B28" s="3" t="str">
        <f t="array" ref="B28">INDEX('final-RA-to-framework-summary'!$C$2:$T$2, 1, INT((ROW(B27)-1)/23)+1)</f>
        <v>PettingZoo</v>
      </c>
      <c r="C28" s="3" t="str">
        <f t="array" ref="C28">INDEX('final-RA-to-framework-summary'!$B$4:$B$26, MOD(ROW(A27)-1, 23)+1)</f>
        <v>Benchmark Manager</v>
      </c>
      <c r="D28" s="3" t="str">
        <f t="array" ref="D28">INDEX('final-RA-to-framework-summary'!$C$4:$Z$26, MOD(ROW(A27)-1, 23)+1, INT((ROW(A27)-1)/23)+1)</f>
        <v>not implemented</v>
      </c>
      <c r="E28" s="8"/>
      <c r="F28" s="8"/>
      <c r="G28" s="8"/>
      <c r="H28" s="8"/>
      <c r="I28" s="8"/>
      <c r="J28" s="8"/>
      <c r="K28" s="8"/>
      <c r="L28" s="8"/>
      <c r="M28" s="8"/>
      <c r="N28" s="8"/>
      <c r="O28" s="8"/>
      <c r="P28" s="8"/>
      <c r="Q28" s="8"/>
      <c r="R28" s="8"/>
      <c r="S28" s="8"/>
      <c r="T28" s="8"/>
      <c r="U28" s="8"/>
      <c r="V28" s="8"/>
      <c r="W28" s="8"/>
      <c r="X28" s="8"/>
      <c r="Y28" s="8"/>
      <c r="Z28" s="8"/>
    </row>
    <row r="29">
      <c r="A29" s="3" t="str">
        <f t="array" ref="A29">INDEX('final-RA-to-framework-summary'!$C$1:$T$1, 1, INT((ROW(A28)-1)/23)+1)</f>
        <v>F2</v>
      </c>
      <c r="B29" s="3" t="str">
        <f t="array" ref="B29">INDEX('final-RA-to-framework-summary'!$C$2:$T$2, 1, INT((ROW(B28)-1)/23)+1)</f>
        <v>PettingZoo</v>
      </c>
      <c r="C29" s="3" t="str">
        <f t="array" ref="C29">INDEX('final-RA-to-framework-summary'!$B$4:$B$26, MOD(ROW(A28)-1, 23)+1)</f>
        <v>Framework Orchestrator</v>
      </c>
      <c r="D29" s="3" t="str">
        <f t="array" ref="D29">INDEX('final-RA-to-framework-summary'!$C$4:$Z$26, MOD(ROW(A28)-1, 23)+1, INT((ROW(A28)-1)/23)+1)</f>
        <v>not implemented</v>
      </c>
      <c r="E29" s="8"/>
      <c r="F29" s="8"/>
      <c r="G29" s="8"/>
      <c r="H29" s="8"/>
      <c r="I29" s="8"/>
      <c r="J29" s="8"/>
      <c r="K29" s="8"/>
      <c r="L29" s="8"/>
      <c r="M29" s="8"/>
      <c r="N29" s="8"/>
      <c r="O29" s="8"/>
      <c r="P29" s="8"/>
      <c r="Q29" s="8"/>
      <c r="R29" s="8"/>
      <c r="S29" s="8"/>
      <c r="T29" s="8"/>
      <c r="U29" s="8"/>
      <c r="V29" s="8"/>
      <c r="W29" s="8"/>
      <c r="X29" s="8"/>
      <c r="Y29" s="8"/>
      <c r="Z29" s="8"/>
    </row>
    <row r="30">
      <c r="A30" s="3" t="str">
        <f t="array" ref="A30">INDEX('final-RA-to-framework-summary'!$C$1:$T$1, 1, INT((ROW(A29)-1)/23)+1)</f>
        <v>F2</v>
      </c>
      <c r="B30" s="3" t="str">
        <f t="array" ref="B30">INDEX('final-RA-to-framework-summary'!$C$2:$T$2, 1, INT((ROW(B29)-1)/23)+1)</f>
        <v>PettingZoo</v>
      </c>
      <c r="C30" s="3" t="str">
        <f t="array" ref="C30">INDEX('final-RA-to-framework-summary'!$B$4:$B$26, MOD(ROW(A29)-1, 23)+1)</f>
        <v>Lifecycle Manager</v>
      </c>
      <c r="D30" s="3" t="str">
        <f t="array" ref="D30">INDEX('final-RA-to-framework-summary'!$C$4:$Z$26, MOD(ROW(A29)-1, 23)+1, INT((ROW(A29)-1)/23)+1)</f>
        <v>not implemented</v>
      </c>
      <c r="E30" s="8"/>
      <c r="F30" s="8"/>
      <c r="G30" s="8"/>
      <c r="H30" s="8"/>
      <c r="I30" s="8"/>
      <c r="J30" s="8"/>
      <c r="K30" s="8"/>
      <c r="L30" s="8"/>
      <c r="M30" s="8"/>
      <c r="N30" s="8"/>
      <c r="O30" s="8"/>
      <c r="P30" s="8"/>
      <c r="Q30" s="8"/>
      <c r="R30" s="8"/>
      <c r="S30" s="8"/>
      <c r="T30" s="8"/>
      <c r="U30" s="8"/>
      <c r="V30" s="8"/>
      <c r="W30" s="8"/>
      <c r="X30" s="8"/>
      <c r="Y30" s="8"/>
      <c r="Z30" s="8"/>
    </row>
    <row r="31">
      <c r="A31" s="3" t="str">
        <f t="array" ref="A31">INDEX('final-RA-to-framework-summary'!$C$1:$T$1, 1, INT((ROW(A30)-1)/23)+1)</f>
        <v>F2</v>
      </c>
      <c r="B31" s="3" t="str">
        <f t="array" ref="B31">INDEX('final-RA-to-framework-summary'!$C$2:$T$2, 1, INT((ROW(B30)-1)/23)+1)</f>
        <v>PettingZoo</v>
      </c>
      <c r="C31" s="3" t="str">
        <f t="array" ref="C31">INDEX('final-RA-to-framework-summary'!$B$4:$B$26, MOD(ROW(A30)-1, 23)+1)</f>
        <v>Configuration Manager</v>
      </c>
      <c r="D31" s="3" t="str">
        <f t="array" ref="D31">INDEX('final-RA-to-framework-summary'!$C$4:$Z$26, MOD(ROW(A30)-1, 23)+1, INT((ROW(A30)-1)/23)+1)</f>
        <v>not implemented</v>
      </c>
      <c r="E31" s="8"/>
      <c r="F31" s="8"/>
      <c r="G31" s="8"/>
      <c r="H31" s="8"/>
      <c r="I31" s="8"/>
      <c r="J31" s="8"/>
      <c r="K31" s="8"/>
      <c r="L31" s="8"/>
      <c r="M31" s="8"/>
      <c r="N31" s="8"/>
      <c r="O31" s="8"/>
      <c r="P31" s="8"/>
      <c r="Q31" s="8"/>
      <c r="R31" s="8"/>
      <c r="S31" s="8"/>
      <c r="T31" s="8"/>
      <c r="U31" s="8"/>
      <c r="V31" s="8"/>
      <c r="W31" s="8"/>
      <c r="X31" s="8"/>
      <c r="Y31" s="8"/>
      <c r="Z31" s="8"/>
    </row>
    <row r="32">
      <c r="A32" s="3" t="str">
        <f t="array" ref="A32">INDEX('final-RA-to-framework-summary'!$C$1:$T$1, 1, INT((ROW(A31)-1)/23)+1)</f>
        <v>F2</v>
      </c>
      <c r="B32" s="3" t="str">
        <f t="array" ref="B32">INDEX('final-RA-to-framework-summary'!$C$2:$T$2, 1, INT((ROW(B31)-1)/23)+1)</f>
        <v>PettingZoo</v>
      </c>
      <c r="C32" s="3" t="str">
        <f t="array" ref="C32">INDEX('final-RA-to-framework-summary'!$B$4:$B$26, MOD(ROW(A31)-1, 23)+1)</f>
        <v>Multi-Agent Coordinator</v>
      </c>
      <c r="D32" s="3" t="str">
        <f t="array" ref="D32">INDEX('final-RA-to-framework-summary'!$C$4:$Z$26, MOD(ROW(A31)-1, 23)+1, INT((ROW(A31)-1)/23)+1)</f>
        <v>implicit</v>
      </c>
      <c r="E32" s="9" t="s">
        <v>111</v>
      </c>
      <c r="F32" s="10" t="s">
        <v>112</v>
      </c>
      <c r="G32" s="10" t="s">
        <v>113</v>
      </c>
      <c r="H32" s="8"/>
      <c r="I32" s="8"/>
      <c r="J32" s="8"/>
      <c r="K32" s="8"/>
      <c r="L32" s="8"/>
      <c r="M32" s="8"/>
      <c r="N32" s="8"/>
      <c r="O32" s="8"/>
      <c r="P32" s="8"/>
      <c r="Q32" s="8"/>
      <c r="R32" s="8"/>
      <c r="S32" s="8"/>
      <c r="T32" s="8"/>
      <c r="U32" s="8"/>
      <c r="V32" s="8"/>
      <c r="W32" s="8"/>
      <c r="X32" s="8"/>
      <c r="Y32" s="8"/>
      <c r="Z32" s="8"/>
    </row>
    <row r="33">
      <c r="A33" s="3" t="str">
        <f t="array" ref="A33">INDEX('final-RA-to-framework-summary'!$C$1:$T$1, 1, INT((ROW(A32)-1)/23)+1)</f>
        <v>F2</v>
      </c>
      <c r="B33" s="3" t="str">
        <f t="array" ref="B33">INDEX('final-RA-to-framework-summary'!$C$2:$T$2, 1, INT((ROW(B32)-1)/23)+1)</f>
        <v>PettingZoo</v>
      </c>
      <c r="C33" s="3" t="str">
        <f t="array" ref="C33">INDEX('final-RA-to-framework-summary'!$B$4:$B$26, MOD(ROW(A32)-1, 23)+1)</f>
        <v>Distributed Execution 
Coordinator</v>
      </c>
      <c r="D33" s="3" t="str">
        <f t="array" ref="D33">INDEX('final-RA-to-framework-summary'!$C$4:$Z$26, MOD(ROW(A32)-1, 23)+1, INT((ROW(A32)-1)/23)+1)</f>
        <v>not implemented</v>
      </c>
      <c r="E33" s="12"/>
      <c r="F33" s="10"/>
      <c r="G33" s="8"/>
      <c r="H33" s="8"/>
      <c r="I33" s="8"/>
      <c r="J33" s="8"/>
      <c r="K33" s="8"/>
      <c r="L33" s="8"/>
      <c r="M33" s="8"/>
      <c r="N33" s="8"/>
      <c r="O33" s="8"/>
      <c r="P33" s="8"/>
      <c r="Q33" s="8"/>
      <c r="R33" s="8"/>
      <c r="S33" s="8"/>
      <c r="T33" s="8"/>
      <c r="U33" s="8"/>
      <c r="V33" s="8"/>
      <c r="W33" s="8"/>
      <c r="X33" s="8"/>
      <c r="Y33" s="8"/>
      <c r="Z33" s="8"/>
    </row>
    <row r="34">
      <c r="A34" s="3" t="str">
        <f t="array" ref="A34">INDEX('final-RA-to-framework-summary'!$C$1:$T$1, 1, INT((ROW(A33)-1)/23)+1)</f>
        <v>F2</v>
      </c>
      <c r="B34" s="3" t="str">
        <f t="array" ref="B34">INDEX('final-RA-to-framework-summary'!$C$2:$T$2, 1, INT((ROW(B33)-1)/23)+1)</f>
        <v>PettingZoo</v>
      </c>
      <c r="C34" s="3" t="str">
        <f t="array" ref="C34">INDEX('final-RA-to-framework-summary'!$B$4:$B$26, MOD(ROW(A33)-1, 23)+1)</f>
        <v>Agent</v>
      </c>
      <c r="D34" s="3" t="str">
        <f t="array" ref="D34">INDEX('final-RA-to-framework-summary'!$C$4:$Z$26, MOD(ROW(A33)-1, 23)+1, INT((ROW(A33)-1)/23)+1)</f>
        <v>not implemented</v>
      </c>
      <c r="E34" s="12"/>
      <c r="F34" s="10"/>
      <c r="G34" s="10"/>
      <c r="H34" s="8"/>
      <c r="I34" s="8"/>
      <c r="J34" s="8"/>
      <c r="K34" s="8"/>
      <c r="L34" s="8"/>
      <c r="M34" s="8"/>
      <c r="N34" s="8"/>
      <c r="O34" s="8"/>
      <c r="P34" s="8"/>
      <c r="Q34" s="8"/>
      <c r="R34" s="8"/>
      <c r="S34" s="8"/>
      <c r="T34" s="8"/>
      <c r="U34" s="8"/>
      <c r="V34" s="8"/>
      <c r="W34" s="8"/>
      <c r="X34" s="8"/>
      <c r="Y34" s="8"/>
      <c r="Z34" s="8"/>
    </row>
    <row r="35">
      <c r="A35" s="3" t="str">
        <f t="array" ref="A35">INDEX('final-RA-to-framework-summary'!$C$1:$T$1, 1, INT((ROW(A34)-1)/23)+1)</f>
        <v>F2</v>
      </c>
      <c r="B35" s="3" t="str">
        <f t="array" ref="B35">INDEX('final-RA-to-framework-summary'!$C$2:$T$2, 1, INT((ROW(B34)-1)/23)+1)</f>
        <v>PettingZoo</v>
      </c>
      <c r="C35" s="3" t="str">
        <f t="array" ref="C35">INDEX('final-RA-to-framework-summary'!$B$4:$B$26, MOD(ROW(A34)-1, 23)+1)</f>
        <v>Function Approximator</v>
      </c>
      <c r="D35" s="3" t="str">
        <f t="array" ref="D35">INDEX('final-RA-to-framework-summary'!$C$4:$Z$26, MOD(ROW(A34)-1, 23)+1, INT((ROW(A34)-1)/23)+1)</f>
        <v>not implemented</v>
      </c>
      <c r="E35" s="12"/>
      <c r="F35" s="8"/>
      <c r="G35" s="8"/>
      <c r="H35" s="8"/>
      <c r="I35" s="8"/>
      <c r="J35" s="8"/>
      <c r="K35" s="8"/>
      <c r="L35" s="8"/>
      <c r="M35" s="8"/>
      <c r="N35" s="8"/>
      <c r="O35" s="8"/>
      <c r="P35" s="8"/>
      <c r="Q35" s="8"/>
      <c r="R35" s="8"/>
      <c r="S35" s="8"/>
      <c r="T35" s="8"/>
      <c r="U35" s="8"/>
      <c r="V35" s="8"/>
      <c r="W35" s="8"/>
      <c r="X35" s="8"/>
      <c r="Y35" s="8"/>
      <c r="Z35" s="8"/>
    </row>
    <row r="36">
      <c r="A36" s="3" t="str">
        <f t="array" ref="A36">INDEX('final-RA-to-framework-summary'!$C$1:$T$1, 1, INT((ROW(A35)-1)/23)+1)</f>
        <v>F2</v>
      </c>
      <c r="B36" s="3" t="str">
        <f t="array" ref="B36">INDEX('final-RA-to-framework-summary'!$C$2:$T$2, 1, INT((ROW(B35)-1)/23)+1)</f>
        <v>PettingZoo</v>
      </c>
      <c r="C36" s="3" t="str">
        <f t="array" ref="C36">INDEX('final-RA-to-framework-summary'!$B$4:$B$26, MOD(ROW(A35)-1, 23)+1)</f>
        <v>Buffer</v>
      </c>
      <c r="D36" s="3" t="str">
        <f t="array" ref="D36">INDEX('final-RA-to-framework-summary'!$C$4:$Z$26, MOD(ROW(A35)-1, 23)+1, INT((ROW(A35)-1)/23)+1)</f>
        <v>not implemented</v>
      </c>
      <c r="E36" s="8"/>
      <c r="F36" s="8"/>
      <c r="G36" s="8"/>
      <c r="H36" s="8"/>
      <c r="I36" s="8"/>
      <c r="J36" s="8"/>
      <c r="K36" s="8"/>
      <c r="L36" s="8"/>
      <c r="M36" s="8"/>
      <c r="N36" s="8"/>
      <c r="O36" s="8"/>
      <c r="P36" s="8"/>
      <c r="Q36" s="8"/>
      <c r="R36" s="8"/>
      <c r="S36" s="8"/>
      <c r="T36" s="8"/>
      <c r="U36" s="8"/>
      <c r="V36" s="8"/>
      <c r="W36" s="8"/>
      <c r="X36" s="8"/>
      <c r="Y36" s="8"/>
      <c r="Z36" s="8"/>
    </row>
    <row r="37">
      <c r="A37" s="3" t="str">
        <f t="array" ref="A37">INDEX('final-RA-to-framework-summary'!$C$1:$T$1, 1, INT((ROW(A36)-1)/23)+1)</f>
        <v>F2</v>
      </c>
      <c r="B37" s="3" t="str">
        <f t="array" ref="B37">INDEX('final-RA-to-framework-summary'!$C$2:$T$2, 1, INT((ROW(B36)-1)/23)+1)</f>
        <v>PettingZoo</v>
      </c>
      <c r="C37" s="3" t="str">
        <f t="array" ref="C37">INDEX('final-RA-to-framework-summary'!$B$4:$B$26, MOD(ROW(A36)-1, 23)+1)</f>
        <v>Learner</v>
      </c>
      <c r="D37" s="3" t="str">
        <f t="array" ref="D37">INDEX('final-RA-to-framework-summary'!$C$4:$Z$26, MOD(ROW(A36)-1, 23)+1, INT((ROW(A36)-1)/23)+1)</f>
        <v>not implemented</v>
      </c>
      <c r="E37" s="8"/>
      <c r="F37" s="8"/>
      <c r="G37" s="8"/>
      <c r="H37" s="8"/>
      <c r="I37" s="8"/>
      <c r="J37" s="8"/>
      <c r="K37" s="8"/>
      <c r="L37" s="8"/>
      <c r="M37" s="8"/>
      <c r="N37" s="8"/>
      <c r="O37" s="8"/>
      <c r="P37" s="8"/>
      <c r="Q37" s="8"/>
      <c r="R37" s="8"/>
      <c r="S37" s="8"/>
      <c r="T37" s="8"/>
      <c r="U37" s="8"/>
      <c r="V37" s="8"/>
      <c r="W37" s="8"/>
      <c r="X37" s="8"/>
      <c r="Y37" s="8"/>
      <c r="Z37" s="8"/>
    </row>
    <row r="38">
      <c r="A38" s="3" t="str">
        <f t="array" ref="A38">INDEX('final-RA-to-framework-summary'!$C$1:$T$1, 1, INT((ROW(A37)-1)/23)+1)</f>
        <v>F2</v>
      </c>
      <c r="B38" s="3" t="str">
        <f t="array" ref="B38">INDEX('final-RA-to-framework-summary'!$C$2:$T$2, 1, INT((ROW(B37)-1)/23)+1)</f>
        <v>PettingZoo</v>
      </c>
      <c r="C38" s="3" t="str">
        <f t="array" ref="C38">INDEX('final-RA-to-framework-summary'!$B$4:$B$26, MOD(ROW(A37)-1, 23)+1)</f>
        <v>Environment</v>
      </c>
      <c r="D38" s="3" t="str">
        <f t="array" ref="D38">INDEX('final-RA-to-framework-summary'!$C$4:$Z$26, MOD(ROW(A37)-1, 23)+1, INT((ROW(A37)-1)/23)+1)</f>
        <v>explicit</v>
      </c>
      <c r="E38" s="13" t="s">
        <v>114</v>
      </c>
      <c r="F38" s="3" t="s">
        <v>115</v>
      </c>
      <c r="G38" s="3"/>
      <c r="H38" s="8"/>
      <c r="I38" s="8"/>
      <c r="J38" s="8"/>
      <c r="K38" s="8"/>
      <c r="L38" s="8"/>
      <c r="M38" s="8"/>
      <c r="N38" s="8"/>
      <c r="O38" s="8"/>
      <c r="P38" s="8"/>
      <c r="Q38" s="8"/>
      <c r="R38" s="8"/>
      <c r="S38" s="8"/>
      <c r="T38" s="8"/>
      <c r="U38" s="8"/>
      <c r="V38" s="8"/>
      <c r="W38" s="8"/>
      <c r="X38" s="8"/>
      <c r="Y38" s="8"/>
      <c r="Z38" s="8"/>
    </row>
    <row r="39">
      <c r="A39" s="3" t="str">
        <f t="array" ref="A39">INDEX('final-RA-to-framework-summary'!$C$1:$T$1, 1, INT((ROW(A38)-1)/23)+1)</f>
        <v>F2</v>
      </c>
      <c r="B39" s="3" t="str">
        <f t="array" ref="B39">INDEX('final-RA-to-framework-summary'!$C$2:$T$2, 1, INT((ROW(B38)-1)/23)+1)</f>
        <v>PettingZoo</v>
      </c>
      <c r="C39" s="3" t="str">
        <f t="array" ref="C39">INDEX('final-RA-to-framework-summary'!$B$4:$B$26, MOD(ROW(A38)-1, 23)+1)</f>
        <v>Environment Core</v>
      </c>
      <c r="D39" s="3" t="str">
        <f t="array" ref="D39">INDEX('final-RA-to-framework-summary'!$C$4:$Z$26, MOD(ROW(A38)-1, 23)+1, INT((ROW(A38)-1)/23)+1)</f>
        <v>explicit</v>
      </c>
      <c r="E39" s="13" t="s">
        <v>116</v>
      </c>
      <c r="F39" s="3" t="s">
        <v>117</v>
      </c>
      <c r="G39" s="3" t="s">
        <v>118</v>
      </c>
      <c r="H39" s="8"/>
      <c r="I39" s="8"/>
      <c r="J39" s="8"/>
      <c r="K39" s="8"/>
      <c r="L39" s="8"/>
      <c r="M39" s="8"/>
      <c r="N39" s="8"/>
      <c r="O39" s="8"/>
      <c r="P39" s="8"/>
      <c r="Q39" s="8"/>
      <c r="R39" s="8"/>
      <c r="S39" s="8"/>
      <c r="T39" s="8"/>
      <c r="U39" s="8"/>
      <c r="V39" s="8"/>
      <c r="W39" s="8"/>
      <c r="X39" s="8"/>
      <c r="Y39" s="8"/>
      <c r="Z39" s="8"/>
    </row>
    <row r="40">
      <c r="A40" s="3" t="str">
        <f t="array" ref="A40">INDEX('final-RA-to-framework-summary'!$C$1:$T$1, 1, INT((ROW(A39)-1)/23)+1)</f>
        <v>F2</v>
      </c>
      <c r="B40" s="3" t="str">
        <f t="array" ref="B40">INDEX('final-RA-to-framework-summary'!$C$2:$T$2, 1, INT((ROW(B39)-1)/23)+1)</f>
        <v>PettingZoo</v>
      </c>
      <c r="C40" s="3" t="str">
        <f t="array" ref="C40">INDEX('final-RA-to-framework-summary'!$B$4:$B$26, MOD(ROW(A39)-1, 23)+1)</f>
        <v>Simulator</v>
      </c>
      <c r="D40" s="3" t="str">
        <f t="array" ref="D40">INDEX('final-RA-to-framework-summary'!$C$4:$Z$26, MOD(ROW(A39)-1, 23)+1, INT((ROW(A39)-1)/23)+1)</f>
        <v>implicit</v>
      </c>
      <c r="E40" s="9" t="s">
        <v>119</v>
      </c>
      <c r="F40" s="10" t="s">
        <v>120</v>
      </c>
      <c r="G40" s="10" t="s">
        <v>121</v>
      </c>
      <c r="H40" s="8"/>
      <c r="I40" s="8"/>
      <c r="J40" s="8"/>
      <c r="K40" s="8"/>
      <c r="L40" s="8"/>
      <c r="M40" s="8"/>
      <c r="N40" s="8"/>
      <c r="O40" s="8"/>
      <c r="P40" s="8"/>
      <c r="Q40" s="8"/>
      <c r="R40" s="8"/>
      <c r="S40" s="8"/>
      <c r="T40" s="8"/>
      <c r="U40" s="8"/>
      <c r="V40" s="8"/>
      <c r="W40" s="8"/>
      <c r="X40" s="8"/>
      <c r="Y40" s="8"/>
      <c r="Z40" s="8"/>
    </row>
    <row r="41">
      <c r="A41" s="3" t="str">
        <f t="array" ref="A41">INDEX('final-RA-to-framework-summary'!$C$1:$T$1, 1, INT((ROW(A40)-1)/23)+1)</f>
        <v>F2</v>
      </c>
      <c r="B41" s="3" t="str">
        <f t="array" ref="B41">INDEX('final-RA-to-framework-summary'!$C$2:$T$2, 1, INT((ROW(B40)-1)/23)+1)</f>
        <v>PettingZoo</v>
      </c>
      <c r="C41" s="3" t="str">
        <f t="array" ref="C41">INDEX('final-RA-to-framework-summary'!$B$4:$B$26, MOD(ROW(A40)-1, 23)+1)</f>
        <v>Simulator Adapter</v>
      </c>
      <c r="D41" s="3" t="str">
        <f t="array" ref="D41">INDEX('final-RA-to-framework-summary'!$C$4:$Z$26, MOD(ROW(A40)-1, 23)+1, INT((ROW(A40)-1)/23)+1)</f>
        <v>implicit</v>
      </c>
      <c r="E41" s="9" t="s">
        <v>122</v>
      </c>
      <c r="F41" s="10" t="s">
        <v>123</v>
      </c>
      <c r="G41" s="10" t="s">
        <v>124</v>
      </c>
      <c r="H41" s="8"/>
      <c r="I41" s="8"/>
      <c r="J41" s="8"/>
      <c r="K41" s="8"/>
      <c r="L41" s="8"/>
      <c r="M41" s="8"/>
      <c r="N41" s="8"/>
      <c r="O41" s="8"/>
      <c r="P41" s="8"/>
      <c r="Q41" s="8"/>
      <c r="R41" s="8"/>
      <c r="S41" s="8"/>
      <c r="T41" s="8"/>
      <c r="U41" s="8"/>
      <c r="V41" s="8"/>
      <c r="W41" s="8"/>
      <c r="X41" s="8"/>
      <c r="Y41" s="8"/>
      <c r="Z41" s="8"/>
    </row>
    <row r="42">
      <c r="A42" s="3" t="str">
        <f t="array" ref="A42">INDEX('final-RA-to-framework-summary'!$C$1:$T$1, 1, INT((ROW(A41)-1)/23)+1)</f>
        <v>F2</v>
      </c>
      <c r="B42" s="3" t="str">
        <f t="array" ref="B42">INDEX('final-RA-to-framework-summary'!$C$2:$T$2, 1, INT((ROW(B41)-1)/23)+1)</f>
        <v>PettingZoo</v>
      </c>
      <c r="C42" s="3" t="str">
        <f t="array" ref="C42">INDEX('final-RA-to-framework-summary'!$B$4:$B$26, MOD(ROW(A41)-1, 23)+1)</f>
        <v>Checkpoint Manager</v>
      </c>
      <c r="D42" s="3" t="str">
        <f t="array" ref="D42">INDEX('final-RA-to-framework-summary'!$C$4:$Z$26, MOD(ROW(A41)-1, 23)+1, INT((ROW(A41)-1)/23)+1)</f>
        <v>not implemented</v>
      </c>
      <c r="E42" s="8"/>
      <c r="F42" s="8"/>
      <c r="G42" s="8"/>
      <c r="H42" s="8"/>
      <c r="I42" s="8"/>
      <c r="J42" s="8"/>
      <c r="K42" s="8"/>
      <c r="L42" s="8"/>
      <c r="M42" s="8"/>
      <c r="N42" s="8"/>
      <c r="O42" s="8"/>
      <c r="P42" s="8"/>
      <c r="Q42" s="8"/>
      <c r="R42" s="8"/>
      <c r="S42" s="8"/>
      <c r="T42" s="8"/>
      <c r="U42" s="8"/>
      <c r="V42" s="8"/>
      <c r="W42" s="8"/>
      <c r="X42" s="8"/>
      <c r="Y42" s="8"/>
      <c r="Z42" s="8"/>
    </row>
    <row r="43">
      <c r="A43" s="3" t="str">
        <f t="array" ref="A43">INDEX('final-RA-to-framework-summary'!$C$1:$T$1, 1, INT((ROW(A42)-1)/23)+1)</f>
        <v>F2</v>
      </c>
      <c r="B43" s="3" t="str">
        <f t="array" ref="B43">INDEX('final-RA-to-framework-summary'!$C$2:$T$2, 1, INT((ROW(B42)-1)/23)+1)</f>
        <v>PettingZoo</v>
      </c>
      <c r="C43" s="3" t="str">
        <f t="array" ref="C43">INDEX('final-RA-to-framework-summary'!$B$4:$B$26, MOD(ROW(A42)-1, 23)+1)</f>
        <v>Environment Parameter 
Manager</v>
      </c>
      <c r="D43" s="3" t="str">
        <f t="array" ref="D43">INDEX('final-RA-to-framework-summary'!$C$4:$Z$26, MOD(ROW(A42)-1, 23)+1, INT((ROW(A42)-1)/23)+1)</f>
        <v>not implemented</v>
      </c>
      <c r="E43" s="8"/>
      <c r="F43" s="8"/>
      <c r="G43" s="8"/>
      <c r="H43" s="8"/>
      <c r="I43" s="8"/>
      <c r="J43" s="8"/>
      <c r="K43" s="8"/>
      <c r="L43" s="8"/>
      <c r="M43" s="8"/>
      <c r="N43" s="8"/>
      <c r="O43" s="8"/>
      <c r="P43" s="8"/>
      <c r="Q43" s="8"/>
      <c r="R43" s="8"/>
      <c r="S43" s="8"/>
      <c r="T43" s="8"/>
      <c r="U43" s="8"/>
      <c r="V43" s="8"/>
      <c r="W43" s="8"/>
      <c r="X43" s="8"/>
      <c r="Y43" s="8"/>
      <c r="Z43" s="8"/>
    </row>
    <row r="44">
      <c r="A44" s="3" t="str">
        <f t="array" ref="A44">INDEX('final-RA-to-framework-summary'!$C$1:$T$1, 1, INT((ROW(A43)-1)/23)+1)</f>
        <v>F2</v>
      </c>
      <c r="B44" s="3" t="str">
        <f t="array" ref="B44">INDEX('final-RA-to-framework-summary'!$C$2:$T$2, 1, INT((ROW(B43)-1)/23)+1)</f>
        <v>PettingZoo</v>
      </c>
      <c r="C44" s="3" t="str">
        <f t="array" ref="C44">INDEX('final-RA-to-framework-summary'!$B$4:$B$26, MOD(ROW(A43)-1, 23)+1)</f>
        <v>Renderer</v>
      </c>
      <c r="D44" s="3" t="str">
        <f t="array" ref="D44">INDEX('final-RA-to-framework-summary'!$C$4:$Z$26, MOD(ROW(A43)-1, 23)+1, INT((ROW(A43)-1)/23)+1)</f>
        <v>implicit</v>
      </c>
      <c r="E44" s="9" t="s">
        <v>125</v>
      </c>
      <c r="F44" s="10" t="s">
        <v>126</v>
      </c>
      <c r="G44" s="10" t="s">
        <v>127</v>
      </c>
      <c r="H44" s="8"/>
      <c r="I44" s="8"/>
      <c r="J44" s="8"/>
      <c r="K44" s="8"/>
      <c r="L44" s="8"/>
      <c r="M44" s="8"/>
      <c r="N44" s="8"/>
      <c r="O44" s="8"/>
      <c r="P44" s="8"/>
      <c r="Q44" s="8"/>
      <c r="R44" s="8"/>
      <c r="S44" s="8"/>
      <c r="T44" s="8"/>
      <c r="U44" s="8"/>
      <c r="V44" s="8"/>
      <c r="W44" s="8"/>
      <c r="X44" s="8"/>
      <c r="Y44" s="8"/>
      <c r="Z44" s="8"/>
    </row>
    <row r="45">
      <c r="A45" s="3" t="str">
        <f t="array" ref="A45">INDEX('final-RA-to-framework-summary'!$C$1:$T$1, 1, INT((ROW(A44)-1)/23)+1)</f>
        <v>F2</v>
      </c>
      <c r="B45" s="3" t="str">
        <f t="array" ref="B45">INDEX('final-RA-to-framework-summary'!$C$2:$T$2, 1, INT((ROW(B44)-1)/23)+1)</f>
        <v>PettingZoo</v>
      </c>
      <c r="C45" s="3" t="str">
        <f t="array" ref="C45">INDEX('final-RA-to-framework-summary'!$B$4:$B$26, MOD(ROW(A44)-1, 23)+1)</f>
        <v>Recorder</v>
      </c>
      <c r="D45" s="3" t="str">
        <f t="array" ref="D45">INDEX('final-RA-to-framework-summary'!$C$4:$Z$26, MOD(ROW(A44)-1, 23)+1, INT((ROW(A44)-1)/23)+1)</f>
        <v>explicit</v>
      </c>
      <c r="E45" s="9" t="s">
        <v>128</v>
      </c>
      <c r="F45" s="10" t="s">
        <v>129</v>
      </c>
      <c r="G45" s="8"/>
      <c r="H45" s="8"/>
      <c r="I45" s="8"/>
      <c r="J45" s="8"/>
      <c r="K45" s="8"/>
      <c r="L45" s="8"/>
      <c r="M45" s="8"/>
      <c r="N45" s="8"/>
      <c r="O45" s="8"/>
      <c r="P45" s="8"/>
      <c r="Q45" s="8"/>
      <c r="R45" s="8"/>
      <c r="S45" s="8"/>
      <c r="T45" s="8"/>
      <c r="U45" s="8"/>
      <c r="V45" s="8"/>
      <c r="W45" s="8"/>
      <c r="X45" s="8"/>
      <c r="Y45" s="8"/>
      <c r="Z45" s="8"/>
    </row>
    <row r="46">
      <c r="A46" s="3" t="str">
        <f t="array" ref="A46">INDEX('final-RA-to-framework-summary'!$C$1:$T$1, 1, INT((ROW(A45)-1)/23)+1)</f>
        <v>F2</v>
      </c>
      <c r="B46" s="3" t="str">
        <f t="array" ref="B46">INDEX('final-RA-to-framework-summary'!$C$2:$T$2, 1, INT((ROW(B45)-1)/23)+1)</f>
        <v>PettingZoo</v>
      </c>
      <c r="C46" s="3" t="str">
        <f t="array" ref="C46">INDEX('final-RA-to-framework-summary'!$B$4:$B$26, MOD(ROW(A45)-1, 23)+1)</f>
        <v>Logger</v>
      </c>
      <c r="D46" s="3" t="str">
        <f t="array" ref="D46">INDEX('final-RA-to-framework-summary'!$C$4:$Z$26, MOD(ROW(A45)-1, 23)+1, INT((ROW(A45)-1)/23)+1)</f>
        <v>explicit</v>
      </c>
      <c r="E46" s="14" t="s">
        <v>130</v>
      </c>
      <c r="F46" s="10" t="s">
        <v>131</v>
      </c>
      <c r="G46" s="8"/>
      <c r="H46" s="8"/>
      <c r="I46" s="8"/>
      <c r="J46" s="8"/>
      <c r="K46" s="8"/>
      <c r="L46" s="8"/>
      <c r="M46" s="8"/>
      <c r="N46" s="8"/>
      <c r="O46" s="8"/>
      <c r="P46" s="8"/>
      <c r="Q46" s="8"/>
      <c r="R46" s="8"/>
      <c r="S46" s="8"/>
      <c r="T46" s="8"/>
      <c r="U46" s="8"/>
      <c r="V46" s="8"/>
      <c r="W46" s="8"/>
      <c r="X46" s="8"/>
      <c r="Y46" s="8"/>
      <c r="Z46" s="8"/>
    </row>
    <row r="47">
      <c r="A47" s="3" t="str">
        <f t="array" ref="A47">INDEX('final-RA-to-framework-summary'!$C$1:$T$1, 1, INT((ROW(A46)-1)/23)+1)</f>
        <v>F2</v>
      </c>
      <c r="B47" s="3" t="str">
        <f t="array" ref="B47">INDEX('final-RA-to-framework-summary'!$C$2:$T$2, 1, INT((ROW(B46)-1)/23)+1)</f>
        <v>PettingZoo</v>
      </c>
      <c r="C47" s="3" t="str">
        <f t="array" ref="C47">INDEX('final-RA-to-framework-summary'!$B$4:$B$26, MOD(ROW(A46)-1, 23)+1)</f>
        <v>Reporter</v>
      </c>
      <c r="D47" s="3" t="str">
        <f t="array" ref="D47">INDEX('final-RA-to-framework-summary'!$C$4:$Z$26, MOD(ROW(A46)-1, 23)+1, INT((ROW(A46)-1)/23)+1)</f>
        <v>explicit</v>
      </c>
      <c r="E47" s="9" t="s">
        <v>132</v>
      </c>
      <c r="F47" s="10" t="s">
        <v>133</v>
      </c>
      <c r="G47" s="10" t="s">
        <v>134</v>
      </c>
      <c r="H47" s="8"/>
      <c r="I47" s="8"/>
      <c r="J47" s="8"/>
      <c r="K47" s="8"/>
      <c r="L47" s="8"/>
      <c r="M47" s="8"/>
      <c r="N47" s="8"/>
      <c r="O47" s="8"/>
      <c r="P47" s="8"/>
      <c r="Q47" s="8"/>
      <c r="R47" s="8"/>
      <c r="S47" s="8"/>
      <c r="T47" s="8"/>
      <c r="U47" s="8"/>
      <c r="V47" s="8"/>
      <c r="W47" s="8"/>
      <c r="X47" s="8"/>
      <c r="Y47" s="8"/>
      <c r="Z47" s="8"/>
    </row>
    <row r="48">
      <c r="A48" s="3" t="str">
        <f t="array" ref="A48">INDEX('final-RA-to-framework-summary'!$C$1:$T$1, 1, INT((ROW(A47)-1)/23)+1)</f>
        <v>F3</v>
      </c>
      <c r="B48" s="3" t="str">
        <f t="array" ref="B48">INDEX('final-RA-to-framework-summary'!$C$2:$T$2, 1, INT((ROW(B47)-1)/23)+1)</f>
        <v>Unity ML-Agents</v>
      </c>
      <c r="C48" s="3" t="str">
        <f t="array" ref="C48">INDEX('final-RA-to-framework-summary'!$B$4:$B$26, MOD(ROW(A47)-1, 23)+1)</f>
        <v>Experiment Orchestrator</v>
      </c>
      <c r="D48" s="3" t="str">
        <f t="array" ref="D48">INDEX('final-RA-to-framework-summary'!$C$4:$Z$26, MOD(ROW(A47)-1, 23)+1, INT((ROW(A47)-1)/23)+1)</f>
        <v>not implemented</v>
      </c>
      <c r="E48" s="8"/>
      <c r="F48" s="8"/>
      <c r="G48" s="8"/>
      <c r="H48" s="8"/>
      <c r="I48" s="8"/>
      <c r="J48" s="8"/>
      <c r="K48" s="8"/>
      <c r="L48" s="8"/>
      <c r="M48" s="8"/>
      <c r="N48" s="8"/>
      <c r="O48" s="8"/>
      <c r="P48" s="8"/>
      <c r="Q48" s="8"/>
      <c r="R48" s="8"/>
      <c r="S48" s="8"/>
      <c r="T48" s="8"/>
      <c r="U48" s="8"/>
      <c r="V48" s="8"/>
      <c r="W48" s="8"/>
      <c r="X48" s="8"/>
      <c r="Y48" s="8"/>
      <c r="Z48" s="8"/>
    </row>
    <row r="49">
      <c r="A49" s="3" t="str">
        <f t="array" ref="A49">INDEX('final-RA-to-framework-summary'!$C$1:$T$1, 1, INT((ROW(A48)-1)/23)+1)</f>
        <v>F3</v>
      </c>
      <c r="B49" s="3" t="str">
        <f t="array" ref="B49">INDEX('final-RA-to-framework-summary'!$C$2:$T$2, 1, INT((ROW(B48)-1)/23)+1)</f>
        <v>Unity ML-Agents</v>
      </c>
      <c r="C49" s="3" t="str">
        <f t="array" ref="C49">INDEX('final-RA-to-framework-summary'!$B$4:$B$26, MOD(ROW(A48)-1, 23)+1)</f>
        <v>Experiment Manager</v>
      </c>
      <c r="D49" s="3" t="str">
        <f t="array" ref="D49">INDEX('final-RA-to-framework-summary'!$C$4:$Z$26, MOD(ROW(A48)-1, 23)+1, INT((ROW(A48)-1)/23)+1)</f>
        <v>implicit</v>
      </c>
      <c r="E49" s="9" t="s">
        <v>135</v>
      </c>
      <c r="F49" s="10" t="s">
        <v>136</v>
      </c>
      <c r="G49" s="10" t="s">
        <v>137</v>
      </c>
      <c r="H49" s="8"/>
      <c r="I49" s="8"/>
      <c r="J49" s="8"/>
      <c r="K49" s="8"/>
      <c r="L49" s="8"/>
      <c r="M49" s="8"/>
      <c r="N49" s="8"/>
      <c r="O49" s="8"/>
      <c r="P49" s="8"/>
      <c r="Q49" s="8"/>
      <c r="R49" s="8"/>
      <c r="S49" s="8"/>
      <c r="T49" s="8"/>
      <c r="U49" s="8"/>
      <c r="V49" s="8"/>
      <c r="W49" s="8"/>
      <c r="X49" s="8"/>
      <c r="Y49" s="8"/>
      <c r="Z49" s="8"/>
    </row>
    <row r="50">
      <c r="A50" s="3" t="str">
        <f t="array" ref="A50">INDEX('final-RA-to-framework-summary'!$C$1:$T$1, 1, INT((ROW(A49)-1)/23)+1)</f>
        <v>F3</v>
      </c>
      <c r="B50" s="3" t="str">
        <f t="array" ref="B50">INDEX('final-RA-to-framework-summary'!$C$2:$T$2, 1, INT((ROW(B49)-1)/23)+1)</f>
        <v>Unity ML-Agents</v>
      </c>
      <c r="C50" s="3" t="str">
        <f t="array" ref="C50">INDEX('final-RA-to-framework-summary'!$B$4:$B$26, MOD(ROW(A49)-1, 23)+1)</f>
        <v>Hyperparameter Tuner</v>
      </c>
      <c r="D50" s="3" t="str">
        <f t="array" ref="D50">INDEX('final-RA-to-framework-summary'!$C$4:$Z$26, MOD(ROW(A49)-1, 23)+1, INT((ROW(A49)-1)/23)+1)</f>
        <v>not implemented</v>
      </c>
      <c r="E50" s="8"/>
      <c r="F50" s="8"/>
      <c r="G50" s="8"/>
      <c r="H50" s="8"/>
      <c r="I50" s="8"/>
      <c r="J50" s="8"/>
      <c r="K50" s="8"/>
      <c r="L50" s="8"/>
      <c r="M50" s="8"/>
      <c r="N50" s="8"/>
      <c r="O50" s="8"/>
      <c r="P50" s="8"/>
      <c r="Q50" s="8"/>
      <c r="R50" s="8"/>
      <c r="S50" s="8"/>
      <c r="T50" s="8"/>
      <c r="U50" s="8"/>
      <c r="V50" s="8"/>
      <c r="W50" s="8"/>
      <c r="X50" s="8"/>
      <c r="Y50" s="8"/>
      <c r="Z50" s="8"/>
    </row>
    <row r="51">
      <c r="A51" s="3" t="str">
        <f t="array" ref="A51">INDEX('final-RA-to-framework-summary'!$C$1:$T$1, 1, INT((ROW(A50)-1)/23)+1)</f>
        <v>F3</v>
      </c>
      <c r="B51" s="3" t="str">
        <f t="array" ref="B51">INDEX('final-RA-to-framework-summary'!$C$2:$T$2, 1, INT((ROW(B50)-1)/23)+1)</f>
        <v>Unity ML-Agents</v>
      </c>
      <c r="C51" s="3" t="str">
        <f t="array" ref="C51">INDEX('final-RA-to-framework-summary'!$B$4:$B$26, MOD(ROW(A50)-1, 23)+1)</f>
        <v>Benchmark Manager</v>
      </c>
      <c r="D51" s="3" t="str">
        <f t="array" ref="D51">INDEX('final-RA-to-framework-summary'!$C$4:$Z$26, MOD(ROW(A50)-1, 23)+1, INT((ROW(A50)-1)/23)+1)</f>
        <v>not implemented</v>
      </c>
      <c r="E51" s="8"/>
      <c r="F51" s="8"/>
      <c r="G51" s="8"/>
      <c r="H51" s="8"/>
      <c r="I51" s="8"/>
      <c r="J51" s="8"/>
      <c r="K51" s="8"/>
      <c r="L51" s="8"/>
      <c r="M51" s="8"/>
      <c r="N51" s="8"/>
      <c r="O51" s="8"/>
      <c r="P51" s="8"/>
      <c r="Q51" s="8"/>
      <c r="R51" s="8"/>
      <c r="S51" s="8"/>
      <c r="T51" s="8"/>
      <c r="U51" s="8"/>
      <c r="V51" s="8"/>
      <c r="W51" s="8"/>
      <c r="X51" s="8"/>
      <c r="Y51" s="8"/>
      <c r="Z51" s="8"/>
    </row>
    <row r="52">
      <c r="A52" s="3" t="str">
        <f t="array" ref="A52">INDEX('final-RA-to-framework-summary'!$C$1:$T$1, 1, INT((ROW(A51)-1)/23)+1)</f>
        <v>F3</v>
      </c>
      <c r="B52" s="3" t="str">
        <f t="array" ref="B52">INDEX('final-RA-to-framework-summary'!$C$2:$T$2, 1, INT((ROW(B51)-1)/23)+1)</f>
        <v>Unity ML-Agents</v>
      </c>
      <c r="C52" s="3" t="str">
        <f t="array" ref="C52">INDEX('final-RA-to-framework-summary'!$B$4:$B$26, MOD(ROW(A51)-1, 23)+1)</f>
        <v>Framework Orchestrator</v>
      </c>
      <c r="D52" s="3" t="str">
        <f t="array" ref="D52">INDEX('final-RA-to-framework-summary'!$C$4:$Z$26, MOD(ROW(A51)-1, 23)+1, INT((ROW(A51)-1)/23)+1)</f>
        <v>implicit</v>
      </c>
      <c r="E52" s="9" t="s">
        <v>138</v>
      </c>
      <c r="F52" s="10" t="s">
        <v>139</v>
      </c>
      <c r="G52" s="10" t="s">
        <v>140</v>
      </c>
      <c r="H52" s="8"/>
      <c r="I52" s="8"/>
      <c r="J52" s="8"/>
      <c r="K52" s="8"/>
      <c r="L52" s="8"/>
      <c r="M52" s="8"/>
      <c r="N52" s="8"/>
      <c r="O52" s="8"/>
      <c r="P52" s="8"/>
      <c r="Q52" s="8"/>
      <c r="R52" s="8"/>
      <c r="S52" s="8"/>
      <c r="T52" s="8"/>
      <c r="U52" s="8"/>
      <c r="V52" s="8"/>
      <c r="W52" s="8"/>
      <c r="X52" s="8"/>
      <c r="Y52" s="8"/>
      <c r="Z52" s="8"/>
    </row>
    <row r="53">
      <c r="A53" s="3" t="str">
        <f t="array" ref="A53">INDEX('final-RA-to-framework-summary'!$C$1:$T$1, 1, INT((ROW(A52)-1)/23)+1)</f>
        <v>F3</v>
      </c>
      <c r="B53" s="3" t="str">
        <f t="array" ref="B53">INDEX('final-RA-to-framework-summary'!$C$2:$T$2, 1, INT((ROW(B52)-1)/23)+1)</f>
        <v>Unity ML-Agents</v>
      </c>
      <c r="C53" s="3" t="str">
        <f t="array" ref="C53">INDEX('final-RA-to-framework-summary'!$B$4:$B$26, MOD(ROW(A52)-1, 23)+1)</f>
        <v>Lifecycle Manager</v>
      </c>
      <c r="D53" s="3" t="str">
        <f t="array" ref="D53">INDEX('final-RA-to-framework-summary'!$C$4:$Z$26, MOD(ROW(A52)-1, 23)+1, INT((ROW(A52)-1)/23)+1)</f>
        <v>explicit</v>
      </c>
      <c r="E53" s="9" t="s">
        <v>141</v>
      </c>
      <c r="F53" s="10" t="s">
        <v>142</v>
      </c>
      <c r="G53" s="10" t="s">
        <v>143</v>
      </c>
      <c r="H53" s="8"/>
      <c r="I53" s="8"/>
      <c r="J53" s="8"/>
      <c r="K53" s="8"/>
      <c r="L53" s="8"/>
      <c r="M53" s="8"/>
      <c r="N53" s="8"/>
      <c r="O53" s="8"/>
      <c r="P53" s="8"/>
      <c r="Q53" s="8"/>
      <c r="R53" s="8"/>
      <c r="S53" s="8"/>
      <c r="T53" s="8"/>
      <c r="U53" s="8"/>
      <c r="V53" s="8"/>
      <c r="W53" s="8"/>
      <c r="X53" s="8"/>
      <c r="Y53" s="8"/>
      <c r="Z53" s="8"/>
    </row>
    <row r="54">
      <c r="A54" s="3" t="str">
        <f t="array" ref="A54">INDEX('final-RA-to-framework-summary'!$C$1:$T$1, 1, INT((ROW(A53)-1)/23)+1)</f>
        <v>F3</v>
      </c>
      <c r="B54" s="3" t="str">
        <f t="array" ref="B54">INDEX('final-RA-to-framework-summary'!$C$2:$T$2, 1, INT((ROW(B53)-1)/23)+1)</f>
        <v>Unity ML-Agents</v>
      </c>
      <c r="C54" s="3" t="str">
        <f t="array" ref="C54">INDEX('final-RA-to-framework-summary'!$B$4:$B$26, MOD(ROW(A53)-1, 23)+1)</f>
        <v>Configuration Manager</v>
      </c>
      <c r="D54" s="3" t="str">
        <f t="array" ref="D54">INDEX('final-RA-to-framework-summary'!$C$4:$Z$26, MOD(ROW(A53)-1, 23)+1, INT((ROW(A53)-1)/23)+1)</f>
        <v>not implemented</v>
      </c>
      <c r="E54" s="8"/>
      <c r="F54" s="8"/>
      <c r="G54" s="8"/>
      <c r="H54" s="8"/>
      <c r="I54" s="8"/>
      <c r="J54" s="8"/>
      <c r="K54" s="8"/>
      <c r="L54" s="8"/>
      <c r="M54" s="8"/>
      <c r="N54" s="8"/>
      <c r="O54" s="8"/>
      <c r="P54" s="8"/>
      <c r="Q54" s="8"/>
      <c r="R54" s="8"/>
      <c r="S54" s="8"/>
      <c r="T54" s="8"/>
      <c r="U54" s="8"/>
      <c r="V54" s="8"/>
      <c r="W54" s="8"/>
      <c r="X54" s="8"/>
      <c r="Y54" s="8"/>
      <c r="Z54" s="8"/>
    </row>
    <row r="55">
      <c r="A55" s="3" t="str">
        <f t="array" ref="A55">INDEX('final-RA-to-framework-summary'!$C$1:$T$1, 1, INT((ROW(A54)-1)/23)+1)</f>
        <v>F3</v>
      </c>
      <c r="B55" s="3" t="str">
        <f t="array" ref="B55">INDEX('final-RA-to-framework-summary'!$C$2:$T$2, 1, INT((ROW(B54)-1)/23)+1)</f>
        <v>Unity ML-Agents</v>
      </c>
      <c r="C55" s="3" t="str">
        <f t="array" ref="C55">INDEX('final-RA-to-framework-summary'!$B$4:$B$26, MOD(ROW(A54)-1, 23)+1)</f>
        <v>Multi-Agent Coordinator</v>
      </c>
      <c r="D55" s="3" t="str">
        <f t="array" ref="D55">INDEX('final-RA-to-framework-summary'!$C$4:$Z$26, MOD(ROW(A54)-1, 23)+1, INT((ROW(A54)-1)/23)+1)</f>
        <v>explicit</v>
      </c>
      <c r="E55" s="9" t="s">
        <v>144</v>
      </c>
      <c r="F55" s="10" t="s">
        <v>145</v>
      </c>
      <c r="G55" s="8"/>
      <c r="H55" s="8"/>
      <c r="I55" s="8"/>
      <c r="J55" s="8"/>
      <c r="K55" s="8"/>
      <c r="L55" s="8"/>
      <c r="M55" s="8"/>
      <c r="N55" s="8"/>
      <c r="O55" s="8"/>
      <c r="P55" s="8"/>
      <c r="Q55" s="8"/>
      <c r="R55" s="8"/>
      <c r="S55" s="8"/>
      <c r="T55" s="8"/>
      <c r="U55" s="8"/>
      <c r="V55" s="8"/>
      <c r="W55" s="8"/>
      <c r="X55" s="8"/>
      <c r="Y55" s="8"/>
      <c r="Z55" s="8"/>
    </row>
    <row r="56">
      <c r="A56" s="3" t="str">
        <f t="array" ref="A56">INDEX('final-RA-to-framework-summary'!$C$1:$T$1, 1, INT((ROW(A55)-1)/23)+1)</f>
        <v>F3</v>
      </c>
      <c r="B56" s="3" t="str">
        <f t="array" ref="B56">INDEX('final-RA-to-framework-summary'!$C$2:$T$2, 1, INT((ROW(B55)-1)/23)+1)</f>
        <v>Unity ML-Agents</v>
      </c>
      <c r="C56" s="3" t="str">
        <f t="array" ref="C56">INDEX('final-RA-to-framework-summary'!$B$4:$B$26, MOD(ROW(A55)-1, 23)+1)</f>
        <v>Distributed Execution 
Coordinator</v>
      </c>
      <c r="D56" s="3" t="str">
        <f t="array" ref="D56">INDEX('final-RA-to-framework-summary'!$C$4:$Z$26, MOD(ROW(A55)-1, 23)+1, INT((ROW(A55)-1)/23)+1)</f>
        <v>not implemented</v>
      </c>
      <c r="E56" s="8"/>
      <c r="F56" s="8"/>
      <c r="G56" s="8"/>
      <c r="H56" s="8"/>
      <c r="I56" s="8"/>
      <c r="J56" s="8"/>
      <c r="K56" s="8"/>
      <c r="L56" s="8"/>
      <c r="M56" s="8"/>
      <c r="N56" s="8"/>
      <c r="O56" s="8"/>
      <c r="P56" s="8"/>
      <c r="Q56" s="8"/>
      <c r="R56" s="8"/>
      <c r="S56" s="8"/>
      <c r="T56" s="8"/>
      <c r="U56" s="8"/>
      <c r="V56" s="8"/>
      <c r="W56" s="8"/>
      <c r="X56" s="8"/>
      <c r="Y56" s="8"/>
      <c r="Z56" s="8"/>
    </row>
    <row r="57">
      <c r="A57" s="3" t="str">
        <f t="array" ref="A57">INDEX('final-RA-to-framework-summary'!$C$1:$T$1, 1, INT((ROW(A56)-1)/23)+1)</f>
        <v>F3</v>
      </c>
      <c r="B57" s="3" t="str">
        <f t="array" ref="B57">INDEX('final-RA-to-framework-summary'!$C$2:$T$2, 1, INT((ROW(B56)-1)/23)+1)</f>
        <v>Unity ML-Agents</v>
      </c>
      <c r="C57" s="3" t="str">
        <f t="array" ref="C57">INDEX('final-RA-to-framework-summary'!$B$4:$B$26, MOD(ROW(A56)-1, 23)+1)</f>
        <v>Agent</v>
      </c>
      <c r="D57" s="3" t="str">
        <f t="array" ref="D57">INDEX('final-RA-to-framework-summary'!$C$4:$Z$26, MOD(ROW(A56)-1, 23)+1, INT((ROW(A56)-1)/23)+1)</f>
        <v>explicit</v>
      </c>
      <c r="E57" s="9" t="s">
        <v>146</v>
      </c>
      <c r="F57" s="10" t="s">
        <v>147</v>
      </c>
      <c r="G57" s="8"/>
      <c r="H57" s="8"/>
      <c r="I57" s="8"/>
      <c r="J57" s="8"/>
      <c r="K57" s="8"/>
      <c r="L57" s="8"/>
      <c r="M57" s="8"/>
      <c r="N57" s="8"/>
      <c r="O57" s="8"/>
      <c r="P57" s="8"/>
      <c r="Q57" s="8"/>
      <c r="R57" s="8"/>
      <c r="S57" s="8"/>
      <c r="T57" s="8"/>
      <c r="U57" s="8"/>
      <c r="V57" s="8"/>
      <c r="W57" s="8"/>
      <c r="X57" s="8"/>
      <c r="Y57" s="8"/>
      <c r="Z57" s="8"/>
    </row>
    <row r="58">
      <c r="A58" s="3" t="str">
        <f t="array" ref="A58">INDEX('final-RA-to-framework-summary'!$C$1:$T$1, 1, INT((ROW(A57)-1)/23)+1)</f>
        <v>F3</v>
      </c>
      <c r="B58" s="3" t="str">
        <f t="array" ref="B58">INDEX('final-RA-to-framework-summary'!$C$2:$T$2, 1, INT((ROW(B57)-1)/23)+1)</f>
        <v>Unity ML-Agents</v>
      </c>
      <c r="C58" s="3" t="str">
        <f t="array" ref="C58">INDEX('final-RA-to-framework-summary'!$B$4:$B$26, MOD(ROW(A57)-1, 23)+1)</f>
        <v>Function Approximator</v>
      </c>
      <c r="D58" s="3" t="str">
        <f t="array" ref="D58">INDEX('final-RA-to-framework-summary'!$C$4:$Z$26, MOD(ROW(A57)-1, 23)+1, INT((ROW(A57)-1)/23)+1)</f>
        <v>explicit</v>
      </c>
      <c r="E58" s="9" t="s">
        <v>148</v>
      </c>
      <c r="F58" s="10" t="s">
        <v>149</v>
      </c>
      <c r="G58" s="8"/>
      <c r="H58" s="8"/>
      <c r="I58" s="8"/>
      <c r="J58" s="8"/>
      <c r="K58" s="8"/>
      <c r="L58" s="8"/>
      <c r="M58" s="8"/>
      <c r="N58" s="8"/>
      <c r="O58" s="8"/>
      <c r="P58" s="8"/>
      <c r="Q58" s="8"/>
      <c r="R58" s="8"/>
      <c r="S58" s="8"/>
      <c r="T58" s="8"/>
      <c r="U58" s="8"/>
      <c r="V58" s="8"/>
      <c r="W58" s="8"/>
      <c r="X58" s="8"/>
      <c r="Y58" s="8"/>
      <c r="Z58" s="8"/>
    </row>
    <row r="59">
      <c r="A59" s="3" t="str">
        <f t="array" ref="A59">INDEX('final-RA-to-framework-summary'!$C$1:$T$1, 1, INT((ROW(A58)-1)/23)+1)</f>
        <v>F3</v>
      </c>
      <c r="B59" s="3" t="str">
        <f t="array" ref="B59">INDEX('final-RA-to-framework-summary'!$C$2:$T$2, 1, INT((ROW(B58)-1)/23)+1)</f>
        <v>Unity ML-Agents</v>
      </c>
      <c r="C59" s="3" t="str">
        <f t="array" ref="C59">INDEX('final-RA-to-framework-summary'!$B$4:$B$26, MOD(ROW(A58)-1, 23)+1)</f>
        <v>Buffer</v>
      </c>
      <c r="D59" s="3" t="str">
        <f t="array" ref="D59">INDEX('final-RA-to-framework-summary'!$C$4:$Z$26, MOD(ROW(A58)-1, 23)+1, INT((ROW(A58)-1)/23)+1)</f>
        <v>explicit</v>
      </c>
      <c r="E59" s="9" t="s">
        <v>150</v>
      </c>
      <c r="F59" s="10" t="s">
        <v>151</v>
      </c>
      <c r="G59" s="8"/>
      <c r="H59" s="8"/>
      <c r="I59" s="8"/>
      <c r="J59" s="8"/>
      <c r="K59" s="8"/>
      <c r="L59" s="8"/>
      <c r="M59" s="8"/>
      <c r="N59" s="8"/>
      <c r="O59" s="8"/>
      <c r="P59" s="8"/>
      <c r="Q59" s="8"/>
      <c r="R59" s="8"/>
      <c r="S59" s="8"/>
      <c r="T59" s="8"/>
      <c r="U59" s="8"/>
      <c r="V59" s="8"/>
      <c r="W59" s="8"/>
      <c r="X59" s="8"/>
      <c r="Y59" s="8"/>
      <c r="Z59" s="8"/>
    </row>
    <row r="60">
      <c r="A60" s="3" t="str">
        <f t="array" ref="A60">INDEX('final-RA-to-framework-summary'!$C$1:$T$1, 1, INT((ROW(A59)-1)/23)+1)</f>
        <v>F3</v>
      </c>
      <c r="B60" s="3" t="str">
        <f t="array" ref="B60">INDEX('final-RA-to-framework-summary'!$C$2:$T$2, 1, INT((ROW(B59)-1)/23)+1)</f>
        <v>Unity ML-Agents</v>
      </c>
      <c r="C60" s="3" t="str">
        <f t="array" ref="C60">INDEX('final-RA-to-framework-summary'!$B$4:$B$26, MOD(ROW(A59)-1, 23)+1)</f>
        <v>Learner</v>
      </c>
      <c r="D60" s="3" t="str">
        <f t="array" ref="D60">INDEX('final-RA-to-framework-summary'!$C$4:$Z$26, MOD(ROW(A59)-1, 23)+1, INT((ROW(A59)-1)/23)+1)</f>
        <v>implicit</v>
      </c>
      <c r="E60" s="9" t="s">
        <v>152</v>
      </c>
      <c r="F60" s="10" t="s">
        <v>153</v>
      </c>
      <c r="G60" s="10" t="s">
        <v>154</v>
      </c>
      <c r="H60" s="8"/>
      <c r="I60" s="8"/>
      <c r="J60" s="8"/>
      <c r="K60" s="8"/>
      <c r="L60" s="8"/>
      <c r="M60" s="8"/>
      <c r="N60" s="8"/>
      <c r="O60" s="8"/>
      <c r="P60" s="8"/>
      <c r="Q60" s="8"/>
      <c r="R60" s="8"/>
      <c r="S60" s="8"/>
      <c r="T60" s="8"/>
      <c r="U60" s="8"/>
      <c r="V60" s="8"/>
      <c r="W60" s="8"/>
      <c r="X60" s="8"/>
      <c r="Y60" s="8"/>
      <c r="Z60" s="8"/>
    </row>
    <row r="61">
      <c r="A61" s="3" t="str">
        <f t="array" ref="A61">INDEX('final-RA-to-framework-summary'!$C$1:$T$1, 1, INT((ROW(A60)-1)/23)+1)</f>
        <v>F3</v>
      </c>
      <c r="B61" s="3" t="str">
        <f t="array" ref="B61">INDEX('final-RA-to-framework-summary'!$C$2:$T$2, 1, INT((ROW(B60)-1)/23)+1)</f>
        <v>Unity ML-Agents</v>
      </c>
      <c r="C61" s="3" t="str">
        <f t="array" ref="C61">INDEX('final-RA-to-framework-summary'!$B$4:$B$26, MOD(ROW(A60)-1, 23)+1)</f>
        <v>Environment</v>
      </c>
      <c r="D61" s="3" t="str">
        <f t="array" ref="D61">INDEX('final-RA-to-framework-summary'!$C$4:$Z$26, MOD(ROW(A60)-1, 23)+1, INT((ROW(A60)-1)/23)+1)</f>
        <v>explicit</v>
      </c>
      <c r="E61" s="9" t="s">
        <v>155</v>
      </c>
      <c r="F61" s="8"/>
      <c r="G61" s="8"/>
      <c r="H61" s="8"/>
      <c r="I61" s="8"/>
      <c r="J61" s="8"/>
      <c r="K61" s="8"/>
      <c r="L61" s="8"/>
      <c r="M61" s="8"/>
      <c r="N61" s="8"/>
      <c r="O61" s="8"/>
      <c r="P61" s="8"/>
      <c r="Q61" s="8"/>
      <c r="R61" s="8"/>
      <c r="S61" s="8"/>
      <c r="T61" s="8"/>
      <c r="U61" s="8"/>
      <c r="V61" s="8"/>
      <c r="W61" s="8"/>
      <c r="X61" s="8"/>
      <c r="Y61" s="8"/>
      <c r="Z61" s="8"/>
    </row>
    <row r="62">
      <c r="A62" s="3" t="str">
        <f t="array" ref="A62">INDEX('final-RA-to-framework-summary'!$C$1:$T$1, 1, INT((ROW(A61)-1)/23)+1)</f>
        <v>F3</v>
      </c>
      <c r="B62" s="3" t="str">
        <f t="array" ref="B62">INDEX('final-RA-to-framework-summary'!$C$2:$T$2, 1, INT((ROW(B61)-1)/23)+1)</f>
        <v>Unity ML-Agents</v>
      </c>
      <c r="C62" s="3" t="str">
        <f t="array" ref="C62">INDEX('final-RA-to-framework-summary'!$B$4:$B$26, MOD(ROW(A61)-1, 23)+1)</f>
        <v>Environment Core</v>
      </c>
      <c r="D62" s="3" t="str">
        <f t="array" ref="D62">INDEX('final-RA-to-framework-summary'!$C$4:$Z$26, MOD(ROW(A61)-1, 23)+1, INT((ROW(A61)-1)/23)+1)</f>
        <v>explicit</v>
      </c>
      <c r="E62" s="9" t="s">
        <v>156</v>
      </c>
      <c r="F62" s="10" t="s">
        <v>157</v>
      </c>
      <c r="G62" s="8"/>
      <c r="H62" s="8"/>
      <c r="I62" s="8"/>
      <c r="J62" s="8"/>
      <c r="K62" s="8"/>
      <c r="L62" s="8"/>
      <c r="M62" s="8"/>
      <c r="N62" s="8"/>
      <c r="O62" s="8"/>
      <c r="P62" s="8"/>
      <c r="Q62" s="8"/>
      <c r="R62" s="8"/>
      <c r="S62" s="8"/>
      <c r="T62" s="8"/>
      <c r="U62" s="8"/>
      <c r="V62" s="8"/>
      <c r="W62" s="8"/>
      <c r="X62" s="8"/>
      <c r="Y62" s="8"/>
      <c r="Z62" s="8"/>
    </row>
    <row r="63">
      <c r="A63" s="3" t="str">
        <f t="array" ref="A63">INDEX('final-RA-to-framework-summary'!$C$1:$T$1, 1, INT((ROW(A62)-1)/23)+1)</f>
        <v>F3</v>
      </c>
      <c r="B63" s="3" t="str">
        <f t="array" ref="B63">INDEX('final-RA-to-framework-summary'!$C$2:$T$2, 1, INT((ROW(B62)-1)/23)+1)</f>
        <v>Unity ML-Agents</v>
      </c>
      <c r="C63" s="3" t="str">
        <f t="array" ref="C63">INDEX('final-RA-to-framework-summary'!$B$4:$B$26, MOD(ROW(A62)-1, 23)+1)</f>
        <v>Simulator</v>
      </c>
      <c r="D63" s="3" t="str">
        <f t="array" ref="D63">INDEX('final-RA-to-framework-summary'!$C$4:$Z$26, MOD(ROW(A62)-1, 23)+1, INT((ROW(A62)-1)/23)+1)</f>
        <v>explicit</v>
      </c>
      <c r="E63" s="14" t="s">
        <v>158</v>
      </c>
      <c r="F63" s="10" t="s">
        <v>159</v>
      </c>
      <c r="G63" s="10" t="s">
        <v>160</v>
      </c>
      <c r="H63" s="8"/>
      <c r="I63" s="8"/>
      <c r="J63" s="8"/>
      <c r="K63" s="8"/>
      <c r="L63" s="8"/>
      <c r="M63" s="8"/>
      <c r="N63" s="8"/>
      <c r="O63" s="8"/>
      <c r="P63" s="8"/>
      <c r="Q63" s="8"/>
      <c r="R63" s="8"/>
      <c r="S63" s="8"/>
      <c r="T63" s="8"/>
      <c r="U63" s="8"/>
      <c r="V63" s="8"/>
      <c r="W63" s="8"/>
      <c r="X63" s="8"/>
      <c r="Y63" s="8"/>
      <c r="Z63" s="8"/>
    </row>
    <row r="64">
      <c r="A64" s="3" t="str">
        <f t="array" ref="A64">INDEX('final-RA-to-framework-summary'!$C$1:$T$1, 1, INT((ROW(A63)-1)/23)+1)</f>
        <v>F3</v>
      </c>
      <c r="B64" s="3" t="str">
        <f t="array" ref="B64">INDEX('final-RA-to-framework-summary'!$C$2:$T$2, 1, INT((ROW(B63)-1)/23)+1)</f>
        <v>Unity ML-Agents</v>
      </c>
      <c r="C64" s="3" t="str">
        <f t="array" ref="C64">INDEX('final-RA-to-framework-summary'!$B$4:$B$26, MOD(ROW(A63)-1, 23)+1)</f>
        <v>Simulator Adapter</v>
      </c>
      <c r="D64" s="3" t="str">
        <f t="array" ref="D64">INDEX('final-RA-to-framework-summary'!$C$4:$Z$26, MOD(ROW(A63)-1, 23)+1, INT((ROW(A63)-1)/23)+1)</f>
        <v>explicit</v>
      </c>
      <c r="E64" s="9" t="s">
        <v>161</v>
      </c>
      <c r="F64" s="10" t="s">
        <v>162</v>
      </c>
      <c r="G64" s="10" t="s">
        <v>163</v>
      </c>
      <c r="H64" s="8"/>
      <c r="I64" s="8"/>
      <c r="J64" s="8"/>
      <c r="K64" s="8"/>
      <c r="L64" s="8"/>
      <c r="M64" s="8"/>
      <c r="N64" s="8"/>
      <c r="O64" s="8"/>
      <c r="P64" s="8"/>
      <c r="Q64" s="8"/>
      <c r="R64" s="8"/>
      <c r="S64" s="8"/>
      <c r="T64" s="8"/>
      <c r="U64" s="8"/>
      <c r="V64" s="8"/>
      <c r="W64" s="8"/>
      <c r="X64" s="8"/>
      <c r="Y64" s="8"/>
      <c r="Z64" s="8"/>
    </row>
    <row r="65">
      <c r="A65" s="3" t="str">
        <f t="array" ref="A65">INDEX('final-RA-to-framework-summary'!$C$1:$T$1, 1, INT((ROW(A64)-1)/23)+1)</f>
        <v>F3</v>
      </c>
      <c r="B65" s="3" t="str">
        <f t="array" ref="B65">INDEX('final-RA-to-framework-summary'!$C$2:$T$2, 1, INT((ROW(B64)-1)/23)+1)</f>
        <v>Unity ML-Agents</v>
      </c>
      <c r="C65" s="3" t="str">
        <f t="array" ref="C65">INDEX('final-RA-to-framework-summary'!$B$4:$B$26, MOD(ROW(A64)-1, 23)+1)</f>
        <v>Checkpoint Manager</v>
      </c>
      <c r="D65" s="3" t="str">
        <f t="array" ref="D65">INDEX('final-RA-to-framework-summary'!$C$4:$Z$26, MOD(ROW(A64)-1, 23)+1, INT((ROW(A64)-1)/23)+1)</f>
        <v>explicit</v>
      </c>
      <c r="E65" s="9" t="s">
        <v>164</v>
      </c>
      <c r="F65" s="10" t="s">
        <v>165</v>
      </c>
      <c r="G65" s="8"/>
      <c r="H65" s="8"/>
      <c r="I65" s="8"/>
      <c r="J65" s="8"/>
      <c r="K65" s="8"/>
      <c r="L65" s="8"/>
      <c r="M65" s="8"/>
      <c r="N65" s="8"/>
      <c r="O65" s="8"/>
      <c r="P65" s="8"/>
      <c r="Q65" s="8"/>
      <c r="R65" s="8"/>
      <c r="S65" s="8"/>
      <c r="T65" s="8"/>
      <c r="U65" s="8"/>
      <c r="V65" s="8"/>
      <c r="W65" s="8"/>
      <c r="X65" s="8"/>
      <c r="Y65" s="8"/>
      <c r="Z65" s="8"/>
    </row>
    <row r="66">
      <c r="A66" s="3" t="str">
        <f t="array" ref="A66">INDEX('final-RA-to-framework-summary'!$C$1:$T$1, 1, INT((ROW(A65)-1)/23)+1)</f>
        <v>F3</v>
      </c>
      <c r="B66" s="3" t="str">
        <f t="array" ref="B66">INDEX('final-RA-to-framework-summary'!$C$2:$T$2, 1, INT((ROW(B65)-1)/23)+1)</f>
        <v>Unity ML-Agents</v>
      </c>
      <c r="C66" s="3" t="str">
        <f t="array" ref="C66">INDEX('final-RA-to-framework-summary'!$B$4:$B$26, MOD(ROW(A65)-1, 23)+1)</f>
        <v>Environment Parameter 
Manager</v>
      </c>
      <c r="D66" s="3" t="str">
        <f t="array" ref="D66">INDEX('final-RA-to-framework-summary'!$C$4:$Z$26, MOD(ROW(A65)-1, 23)+1, INT((ROW(A65)-1)/23)+1)</f>
        <v>explicit</v>
      </c>
      <c r="E66" s="9" t="s">
        <v>166</v>
      </c>
      <c r="F66" s="10" t="s">
        <v>167</v>
      </c>
      <c r="G66" s="8"/>
      <c r="H66" s="8"/>
      <c r="I66" s="8"/>
      <c r="J66" s="8"/>
      <c r="K66" s="8"/>
      <c r="L66" s="8"/>
      <c r="M66" s="8"/>
      <c r="N66" s="8"/>
      <c r="O66" s="8"/>
      <c r="P66" s="8"/>
      <c r="Q66" s="8"/>
      <c r="R66" s="8"/>
      <c r="S66" s="8"/>
      <c r="T66" s="8"/>
      <c r="U66" s="8"/>
      <c r="V66" s="8"/>
      <c r="W66" s="8"/>
      <c r="X66" s="8"/>
      <c r="Y66" s="8"/>
      <c r="Z66" s="8"/>
    </row>
    <row r="67">
      <c r="A67" s="3" t="str">
        <f t="array" ref="A67">INDEX('final-RA-to-framework-summary'!$C$1:$T$1, 1, INT((ROW(A66)-1)/23)+1)</f>
        <v>F3</v>
      </c>
      <c r="B67" s="3" t="str">
        <f t="array" ref="B67">INDEX('final-RA-to-framework-summary'!$C$2:$T$2, 1, INT((ROW(B66)-1)/23)+1)</f>
        <v>Unity ML-Agents</v>
      </c>
      <c r="C67" s="3" t="str">
        <f t="array" ref="C67">INDEX('final-RA-to-framework-summary'!$B$4:$B$26, MOD(ROW(A66)-1, 23)+1)</f>
        <v>Renderer</v>
      </c>
      <c r="D67" s="3" t="str">
        <f t="array" ref="D67">INDEX('final-RA-to-framework-summary'!$C$4:$Z$26, MOD(ROW(A66)-1, 23)+1, INT((ROW(A66)-1)/23)+1)</f>
        <v>implicit</v>
      </c>
      <c r="E67" s="9" t="s">
        <v>168</v>
      </c>
      <c r="F67" s="10" t="s">
        <v>169</v>
      </c>
      <c r="G67" s="10" t="s">
        <v>170</v>
      </c>
      <c r="H67" s="8"/>
      <c r="I67" s="8"/>
      <c r="J67" s="8"/>
      <c r="K67" s="8"/>
      <c r="L67" s="8"/>
      <c r="M67" s="8"/>
      <c r="N67" s="8"/>
      <c r="O67" s="8"/>
      <c r="P67" s="8"/>
      <c r="Q67" s="8"/>
      <c r="R67" s="8"/>
      <c r="S67" s="8"/>
      <c r="T67" s="8"/>
      <c r="U67" s="8"/>
      <c r="V67" s="8"/>
      <c r="W67" s="8"/>
      <c r="X67" s="8"/>
      <c r="Y67" s="8"/>
      <c r="Z67" s="8"/>
    </row>
    <row r="68">
      <c r="A68" s="3" t="str">
        <f t="array" ref="A68">INDEX('final-RA-to-framework-summary'!$C$1:$T$1, 1, INT((ROW(A67)-1)/23)+1)</f>
        <v>F3</v>
      </c>
      <c r="B68" s="3" t="str">
        <f t="array" ref="B68">INDEX('final-RA-to-framework-summary'!$C$2:$T$2, 1, INT((ROW(B67)-1)/23)+1)</f>
        <v>Unity ML-Agents</v>
      </c>
      <c r="C68" s="3" t="str">
        <f t="array" ref="C68">INDEX('final-RA-to-framework-summary'!$B$4:$B$26, MOD(ROW(A67)-1, 23)+1)</f>
        <v>Recorder</v>
      </c>
      <c r="D68" s="3" t="str">
        <f t="array" ref="D68">INDEX('final-RA-to-framework-summary'!$C$4:$Z$26, MOD(ROW(A67)-1, 23)+1, INT((ROW(A67)-1)/23)+1)</f>
        <v>not implemented</v>
      </c>
      <c r="E68" s="8"/>
      <c r="F68" s="8"/>
      <c r="G68" s="8"/>
      <c r="H68" s="8"/>
      <c r="I68" s="8"/>
      <c r="J68" s="8"/>
      <c r="K68" s="8"/>
      <c r="L68" s="8"/>
      <c r="M68" s="8"/>
      <c r="N68" s="8"/>
      <c r="O68" s="8"/>
      <c r="P68" s="8"/>
      <c r="Q68" s="8"/>
      <c r="R68" s="8"/>
      <c r="S68" s="8"/>
      <c r="T68" s="8"/>
      <c r="U68" s="8"/>
      <c r="V68" s="8"/>
      <c r="W68" s="8"/>
      <c r="X68" s="8"/>
      <c r="Y68" s="8"/>
      <c r="Z68" s="8"/>
    </row>
    <row r="69">
      <c r="A69" s="3" t="str">
        <f t="array" ref="A69">INDEX('final-RA-to-framework-summary'!$C$1:$T$1, 1, INT((ROW(A68)-1)/23)+1)</f>
        <v>F3</v>
      </c>
      <c r="B69" s="3" t="str">
        <f t="array" ref="B69">INDEX('final-RA-to-framework-summary'!$C$2:$T$2, 1, INT((ROW(B68)-1)/23)+1)</f>
        <v>Unity ML-Agents</v>
      </c>
      <c r="C69" s="3" t="str">
        <f t="array" ref="C69">INDEX('final-RA-to-framework-summary'!$B$4:$B$26, MOD(ROW(A68)-1, 23)+1)</f>
        <v>Logger</v>
      </c>
      <c r="D69" s="3" t="str">
        <f t="array" ref="D69">INDEX('final-RA-to-framework-summary'!$C$4:$Z$26, MOD(ROW(A68)-1, 23)+1, INT((ROW(A68)-1)/23)+1)</f>
        <v>explicit</v>
      </c>
      <c r="E69" s="9" t="s">
        <v>171</v>
      </c>
      <c r="F69" s="10" t="s">
        <v>172</v>
      </c>
      <c r="G69" s="8"/>
      <c r="H69" s="8"/>
      <c r="I69" s="8"/>
      <c r="J69" s="8"/>
      <c r="K69" s="8"/>
      <c r="L69" s="8"/>
      <c r="M69" s="8"/>
      <c r="N69" s="8"/>
      <c r="O69" s="8"/>
      <c r="P69" s="8"/>
      <c r="Q69" s="8"/>
      <c r="R69" s="8"/>
      <c r="S69" s="8"/>
      <c r="T69" s="8"/>
      <c r="U69" s="8"/>
      <c r="V69" s="8"/>
      <c r="W69" s="8"/>
      <c r="X69" s="8"/>
      <c r="Y69" s="8"/>
      <c r="Z69" s="8"/>
    </row>
    <row r="70">
      <c r="A70" s="3" t="str">
        <f t="array" ref="A70">INDEX('final-RA-to-framework-summary'!$C$1:$T$1, 1, INT((ROW(A69)-1)/23)+1)</f>
        <v>F3</v>
      </c>
      <c r="B70" s="3" t="str">
        <f t="array" ref="B70">INDEX('final-RA-to-framework-summary'!$C$2:$T$2, 1, INT((ROW(B69)-1)/23)+1)</f>
        <v>Unity ML-Agents</v>
      </c>
      <c r="C70" s="3" t="str">
        <f t="array" ref="C70">INDEX('final-RA-to-framework-summary'!$B$4:$B$26, MOD(ROW(A69)-1, 23)+1)</f>
        <v>Reporter</v>
      </c>
      <c r="D70" s="3" t="str">
        <f t="array" ref="D70">INDEX('final-RA-to-framework-summary'!$C$4:$Z$26, MOD(ROW(A69)-1, 23)+1, INT((ROW(A69)-1)/23)+1)</f>
        <v>external</v>
      </c>
      <c r="E70" s="9" t="s">
        <v>173</v>
      </c>
      <c r="F70" s="10" t="s">
        <v>174</v>
      </c>
      <c r="G70" s="10" t="s">
        <v>175</v>
      </c>
      <c r="H70" s="10" t="s">
        <v>176</v>
      </c>
      <c r="I70" s="8"/>
      <c r="J70" s="8"/>
      <c r="K70" s="8"/>
      <c r="L70" s="8"/>
      <c r="M70" s="8"/>
      <c r="N70" s="8"/>
      <c r="O70" s="8"/>
      <c r="P70" s="8"/>
      <c r="Q70" s="8"/>
      <c r="R70" s="8"/>
      <c r="S70" s="8"/>
      <c r="T70" s="8"/>
      <c r="U70" s="8"/>
      <c r="V70" s="8"/>
      <c r="W70" s="8"/>
      <c r="X70" s="8"/>
      <c r="Y70" s="8"/>
      <c r="Z70" s="8"/>
    </row>
    <row r="71">
      <c r="A71" s="3" t="str">
        <f t="array" ref="A71">INDEX('final-RA-to-framework-summary'!$C$1:$T$1, 1, INT((ROW(A70)-1)/23)+1)</f>
        <v>F4</v>
      </c>
      <c r="B71" s="3" t="str">
        <f t="array" ref="B71">INDEX('final-RA-to-framework-summary'!$C$2:$T$2, 1, INT((ROW(B70)-1)/23)+1)</f>
        <v>Isaac Gym</v>
      </c>
      <c r="C71" s="3" t="str">
        <f t="array" ref="C71">INDEX('final-RA-to-framework-summary'!$B$4:$B$26, MOD(ROW(A70)-1, 23)+1)</f>
        <v>Experiment Orchestrator</v>
      </c>
      <c r="D71" s="3" t="str">
        <f t="array" ref="D71">INDEX('final-RA-to-framework-summary'!$C$4:$Z$26, MOD(ROW(A70)-1, 23)+1, INT((ROW(A70)-1)/23)+1)</f>
        <v>not implemented</v>
      </c>
      <c r="E71" s="8"/>
      <c r="F71" s="8"/>
      <c r="G71" s="8"/>
      <c r="H71" s="8"/>
      <c r="I71" s="8"/>
      <c r="J71" s="8"/>
      <c r="K71" s="8"/>
      <c r="L71" s="8"/>
      <c r="M71" s="8"/>
      <c r="N71" s="8"/>
      <c r="O71" s="8"/>
      <c r="P71" s="8"/>
      <c r="Q71" s="8"/>
      <c r="R71" s="8"/>
      <c r="S71" s="8"/>
      <c r="T71" s="8"/>
      <c r="U71" s="8"/>
      <c r="V71" s="8"/>
      <c r="W71" s="8"/>
      <c r="X71" s="8"/>
      <c r="Y71" s="8"/>
      <c r="Z71" s="8"/>
    </row>
    <row r="72">
      <c r="A72" s="3" t="str">
        <f t="array" ref="A72">INDEX('final-RA-to-framework-summary'!$C$1:$T$1, 1, INT((ROW(A71)-1)/23)+1)</f>
        <v>F4</v>
      </c>
      <c r="B72" s="3" t="str">
        <f t="array" ref="B72">INDEX('final-RA-to-framework-summary'!$C$2:$T$2, 1, INT((ROW(B71)-1)/23)+1)</f>
        <v>Isaac Gym</v>
      </c>
      <c r="C72" s="3" t="str">
        <f t="array" ref="C72">INDEX('final-RA-to-framework-summary'!$B$4:$B$26, MOD(ROW(A71)-1, 23)+1)</f>
        <v>Experiment Manager</v>
      </c>
      <c r="D72" s="3" t="str">
        <f t="array" ref="D72">INDEX('final-RA-to-framework-summary'!$C$4:$Z$26, MOD(ROW(A71)-1, 23)+1, INT((ROW(A71)-1)/23)+1)</f>
        <v>not implemented</v>
      </c>
      <c r="E72" s="8"/>
      <c r="F72" s="8"/>
      <c r="G72" s="8"/>
      <c r="H72" s="8"/>
      <c r="I72" s="8"/>
      <c r="J72" s="8"/>
      <c r="K72" s="8"/>
      <c r="L72" s="8"/>
      <c r="M72" s="8"/>
      <c r="N72" s="8"/>
      <c r="O72" s="8"/>
      <c r="P72" s="8"/>
      <c r="Q72" s="8"/>
      <c r="R72" s="8"/>
      <c r="S72" s="8"/>
      <c r="T72" s="8"/>
      <c r="U72" s="8"/>
      <c r="V72" s="8"/>
      <c r="W72" s="8"/>
      <c r="X72" s="8"/>
      <c r="Y72" s="8"/>
      <c r="Z72" s="8"/>
    </row>
    <row r="73">
      <c r="A73" s="3" t="str">
        <f t="array" ref="A73">INDEX('final-RA-to-framework-summary'!$C$1:$T$1, 1, INT((ROW(A72)-1)/23)+1)</f>
        <v>F4</v>
      </c>
      <c r="B73" s="3" t="str">
        <f t="array" ref="B73">INDEX('final-RA-to-framework-summary'!$C$2:$T$2, 1, INT((ROW(B72)-1)/23)+1)</f>
        <v>Isaac Gym</v>
      </c>
      <c r="C73" s="3" t="str">
        <f t="array" ref="C73">INDEX('final-RA-to-framework-summary'!$B$4:$B$26, MOD(ROW(A72)-1, 23)+1)</f>
        <v>Hyperparameter Tuner</v>
      </c>
      <c r="D73" s="3" t="str">
        <f t="array" ref="D73">INDEX('final-RA-to-framework-summary'!$C$4:$Z$26, MOD(ROW(A72)-1, 23)+1, INT((ROW(A72)-1)/23)+1)</f>
        <v>not implemented</v>
      </c>
      <c r="E73" s="8"/>
      <c r="F73" s="8"/>
      <c r="G73" s="8"/>
      <c r="H73" s="8"/>
      <c r="I73" s="8"/>
      <c r="J73" s="8"/>
      <c r="K73" s="8"/>
      <c r="L73" s="8"/>
      <c r="M73" s="8"/>
      <c r="N73" s="8"/>
      <c r="O73" s="8"/>
      <c r="P73" s="8"/>
      <c r="Q73" s="8"/>
      <c r="R73" s="8"/>
      <c r="S73" s="8"/>
      <c r="T73" s="8"/>
      <c r="U73" s="8"/>
      <c r="V73" s="8"/>
      <c r="W73" s="8"/>
      <c r="X73" s="8"/>
      <c r="Y73" s="8"/>
      <c r="Z73" s="8"/>
    </row>
    <row r="74">
      <c r="A74" s="3" t="str">
        <f t="array" ref="A74">INDEX('final-RA-to-framework-summary'!$C$1:$T$1, 1, INT((ROW(A73)-1)/23)+1)</f>
        <v>F4</v>
      </c>
      <c r="B74" s="3" t="str">
        <f t="array" ref="B74">INDEX('final-RA-to-framework-summary'!$C$2:$T$2, 1, INT((ROW(B73)-1)/23)+1)</f>
        <v>Isaac Gym</v>
      </c>
      <c r="C74" s="3" t="str">
        <f t="array" ref="C74">INDEX('final-RA-to-framework-summary'!$B$4:$B$26, MOD(ROW(A73)-1, 23)+1)</f>
        <v>Benchmark Manager</v>
      </c>
      <c r="D74" s="3" t="str">
        <f t="array" ref="D74">INDEX('final-RA-to-framework-summary'!$C$4:$Z$26, MOD(ROW(A73)-1, 23)+1, INT((ROW(A73)-1)/23)+1)</f>
        <v>not implemented</v>
      </c>
      <c r="E74" s="8"/>
      <c r="F74" s="8"/>
      <c r="G74" s="8"/>
      <c r="H74" s="8"/>
      <c r="I74" s="8"/>
      <c r="J74" s="8"/>
      <c r="K74" s="8"/>
      <c r="L74" s="8"/>
      <c r="M74" s="8"/>
      <c r="N74" s="8"/>
      <c r="O74" s="8"/>
      <c r="P74" s="8"/>
      <c r="Q74" s="8"/>
      <c r="R74" s="8"/>
      <c r="S74" s="8"/>
      <c r="T74" s="8"/>
      <c r="U74" s="8"/>
      <c r="V74" s="8"/>
      <c r="W74" s="8"/>
      <c r="X74" s="8"/>
      <c r="Y74" s="8"/>
      <c r="Z74" s="8"/>
    </row>
    <row r="75">
      <c r="A75" s="3" t="str">
        <f t="array" ref="A75">INDEX('final-RA-to-framework-summary'!$C$1:$T$1, 1, INT((ROW(A74)-1)/23)+1)</f>
        <v>F4</v>
      </c>
      <c r="B75" s="3" t="str">
        <f t="array" ref="B75">INDEX('final-RA-to-framework-summary'!$C$2:$T$2, 1, INT((ROW(B74)-1)/23)+1)</f>
        <v>Isaac Gym</v>
      </c>
      <c r="C75" s="3" t="str">
        <f t="array" ref="C75">INDEX('final-RA-to-framework-summary'!$B$4:$B$26, MOD(ROW(A74)-1, 23)+1)</f>
        <v>Framework Orchestrator</v>
      </c>
      <c r="D75" s="3" t="str">
        <f t="array" ref="D75">INDEX('final-RA-to-framework-summary'!$C$4:$Z$26, MOD(ROW(A74)-1, 23)+1, INT((ROW(A74)-1)/23)+1)</f>
        <v>not implemented</v>
      </c>
      <c r="E75" s="8"/>
      <c r="F75" s="8"/>
      <c r="G75" s="8"/>
      <c r="H75" s="8"/>
      <c r="I75" s="8"/>
      <c r="J75" s="8"/>
      <c r="K75" s="8"/>
      <c r="L75" s="8"/>
      <c r="M75" s="8"/>
      <c r="N75" s="8"/>
      <c r="O75" s="8"/>
      <c r="P75" s="8"/>
      <c r="Q75" s="8"/>
      <c r="R75" s="8"/>
      <c r="S75" s="8"/>
      <c r="T75" s="8"/>
      <c r="U75" s="8"/>
      <c r="V75" s="8"/>
      <c r="W75" s="8"/>
      <c r="X75" s="8"/>
      <c r="Y75" s="8"/>
      <c r="Z75" s="8"/>
    </row>
    <row r="76">
      <c r="A76" s="3" t="str">
        <f t="array" ref="A76">INDEX('final-RA-to-framework-summary'!$C$1:$T$1, 1, INT((ROW(A75)-1)/23)+1)</f>
        <v>F4</v>
      </c>
      <c r="B76" s="3" t="str">
        <f t="array" ref="B76">INDEX('final-RA-to-framework-summary'!$C$2:$T$2, 1, INT((ROW(B75)-1)/23)+1)</f>
        <v>Isaac Gym</v>
      </c>
      <c r="C76" s="3" t="str">
        <f t="array" ref="C76">INDEX('final-RA-to-framework-summary'!$B$4:$B$26, MOD(ROW(A75)-1, 23)+1)</f>
        <v>Lifecycle Manager</v>
      </c>
      <c r="D76" s="3" t="str">
        <f t="array" ref="D76">INDEX('final-RA-to-framework-summary'!$C$4:$Z$26, MOD(ROW(A75)-1, 23)+1, INT((ROW(A75)-1)/23)+1)</f>
        <v>not implemented</v>
      </c>
      <c r="E76" s="8"/>
      <c r="F76" s="8"/>
      <c r="G76" s="8"/>
      <c r="H76" s="8"/>
      <c r="I76" s="8"/>
      <c r="J76" s="8"/>
      <c r="K76" s="8"/>
      <c r="L76" s="8"/>
      <c r="M76" s="8"/>
      <c r="N76" s="8"/>
      <c r="O76" s="8"/>
      <c r="P76" s="8"/>
      <c r="Q76" s="8"/>
      <c r="R76" s="8"/>
      <c r="S76" s="8"/>
      <c r="T76" s="8"/>
      <c r="U76" s="8"/>
      <c r="V76" s="8"/>
      <c r="W76" s="8"/>
      <c r="X76" s="8"/>
      <c r="Y76" s="8"/>
      <c r="Z76" s="8"/>
    </row>
    <row r="77">
      <c r="A77" s="3" t="str">
        <f t="array" ref="A77">INDEX('final-RA-to-framework-summary'!$C$1:$T$1, 1, INT((ROW(A76)-1)/23)+1)</f>
        <v>F4</v>
      </c>
      <c r="B77" s="3" t="str">
        <f t="array" ref="B77">INDEX('final-RA-to-framework-summary'!$C$2:$T$2, 1, INT((ROW(B76)-1)/23)+1)</f>
        <v>Isaac Gym</v>
      </c>
      <c r="C77" s="3" t="str">
        <f t="array" ref="C77">INDEX('final-RA-to-framework-summary'!$B$4:$B$26, MOD(ROW(A76)-1, 23)+1)</f>
        <v>Configuration Manager</v>
      </c>
      <c r="D77" s="3" t="str">
        <f t="array" ref="D77">INDEX('final-RA-to-framework-summary'!$C$4:$Z$26, MOD(ROW(A76)-1, 23)+1, INT((ROW(A76)-1)/23)+1)</f>
        <v>not implemented</v>
      </c>
      <c r="E77" s="8"/>
      <c r="F77" s="8"/>
      <c r="G77" s="8"/>
      <c r="H77" s="8"/>
      <c r="I77" s="8"/>
      <c r="J77" s="8"/>
      <c r="K77" s="8"/>
      <c r="L77" s="8"/>
      <c r="M77" s="8"/>
      <c r="N77" s="8"/>
      <c r="O77" s="8"/>
      <c r="P77" s="8"/>
      <c r="Q77" s="8"/>
      <c r="R77" s="8"/>
      <c r="S77" s="8"/>
      <c r="T77" s="8"/>
      <c r="U77" s="8"/>
      <c r="V77" s="8"/>
      <c r="W77" s="8"/>
      <c r="X77" s="8"/>
      <c r="Y77" s="8"/>
      <c r="Z77" s="8"/>
    </row>
    <row r="78">
      <c r="A78" s="3" t="str">
        <f t="array" ref="A78">INDEX('final-RA-to-framework-summary'!$C$1:$T$1, 1, INT((ROW(A77)-1)/23)+1)</f>
        <v>F4</v>
      </c>
      <c r="B78" s="3" t="str">
        <f t="array" ref="B78">INDEX('final-RA-to-framework-summary'!$C$2:$T$2, 1, INT((ROW(B77)-1)/23)+1)</f>
        <v>Isaac Gym</v>
      </c>
      <c r="C78" s="3" t="str">
        <f t="array" ref="C78">INDEX('final-RA-to-framework-summary'!$B$4:$B$26, MOD(ROW(A77)-1, 23)+1)</f>
        <v>Multi-Agent Coordinator</v>
      </c>
      <c r="D78" s="3" t="str">
        <f t="array" ref="D78">INDEX('final-RA-to-framework-summary'!$C$4:$Z$26, MOD(ROW(A77)-1, 23)+1, INT((ROW(A77)-1)/23)+1)</f>
        <v>not implemented</v>
      </c>
      <c r="E78" s="8"/>
      <c r="F78" s="8"/>
      <c r="G78" s="8"/>
      <c r="H78" s="8"/>
      <c r="I78" s="8"/>
      <c r="J78" s="8"/>
      <c r="K78" s="8"/>
      <c r="L78" s="8"/>
      <c r="M78" s="8"/>
      <c r="N78" s="8"/>
      <c r="O78" s="8"/>
      <c r="P78" s="8"/>
      <c r="Q78" s="8"/>
      <c r="R78" s="8"/>
      <c r="S78" s="8"/>
      <c r="T78" s="8"/>
      <c r="U78" s="8"/>
      <c r="V78" s="8"/>
      <c r="W78" s="8"/>
      <c r="X78" s="8"/>
      <c r="Y78" s="8"/>
      <c r="Z78" s="8"/>
    </row>
    <row r="79">
      <c r="A79" s="3" t="str">
        <f t="array" ref="A79">INDEX('final-RA-to-framework-summary'!$C$1:$T$1, 1, INT((ROW(A78)-1)/23)+1)</f>
        <v>F4</v>
      </c>
      <c r="B79" s="3" t="str">
        <f t="array" ref="B79">INDEX('final-RA-to-framework-summary'!$C$2:$T$2, 1, INT((ROW(B78)-1)/23)+1)</f>
        <v>Isaac Gym</v>
      </c>
      <c r="C79" s="3" t="str">
        <f t="array" ref="C79">INDEX('final-RA-to-framework-summary'!$B$4:$B$26, MOD(ROW(A78)-1, 23)+1)</f>
        <v>Distributed Execution 
Coordinator</v>
      </c>
      <c r="D79" s="3" t="str">
        <f t="array" ref="D79">INDEX('final-RA-to-framework-summary'!$C$4:$Z$26, MOD(ROW(A78)-1, 23)+1, INT((ROW(A78)-1)/23)+1)</f>
        <v>not implemented</v>
      </c>
      <c r="E79" s="8"/>
      <c r="F79" s="8"/>
      <c r="G79" s="8"/>
      <c r="H79" s="8"/>
      <c r="I79" s="8"/>
      <c r="J79" s="8"/>
      <c r="K79" s="8"/>
      <c r="L79" s="8"/>
      <c r="M79" s="8"/>
      <c r="N79" s="8"/>
      <c r="O79" s="8"/>
      <c r="P79" s="8"/>
      <c r="Q79" s="8"/>
      <c r="R79" s="8"/>
      <c r="S79" s="8"/>
      <c r="T79" s="8"/>
      <c r="U79" s="8"/>
      <c r="V79" s="8"/>
      <c r="W79" s="8"/>
      <c r="X79" s="8"/>
      <c r="Y79" s="8"/>
      <c r="Z79" s="8"/>
    </row>
    <row r="80">
      <c r="A80" s="3" t="str">
        <f t="array" ref="A80">INDEX('final-RA-to-framework-summary'!$C$1:$T$1, 1, INT((ROW(A79)-1)/23)+1)</f>
        <v>F4</v>
      </c>
      <c r="B80" s="3" t="str">
        <f t="array" ref="B80">INDEX('final-RA-to-framework-summary'!$C$2:$T$2, 1, INT((ROW(B79)-1)/23)+1)</f>
        <v>Isaac Gym</v>
      </c>
      <c r="C80" s="3" t="str">
        <f t="array" ref="C80">INDEX('final-RA-to-framework-summary'!$B$4:$B$26, MOD(ROW(A79)-1, 23)+1)</f>
        <v>Agent</v>
      </c>
      <c r="D80" s="3" t="str">
        <f t="array" ref="D80">INDEX('final-RA-to-framework-summary'!$C$4:$Z$26, MOD(ROW(A79)-1, 23)+1, INT((ROW(A79)-1)/23)+1)</f>
        <v>not implemented</v>
      </c>
      <c r="E80" s="8"/>
      <c r="F80" s="8"/>
      <c r="G80" s="8"/>
      <c r="H80" s="8"/>
      <c r="I80" s="8"/>
      <c r="J80" s="8"/>
      <c r="K80" s="8"/>
      <c r="L80" s="8"/>
      <c r="M80" s="8"/>
      <c r="N80" s="8"/>
      <c r="O80" s="8"/>
      <c r="P80" s="8"/>
      <c r="Q80" s="8"/>
      <c r="R80" s="8"/>
      <c r="S80" s="8"/>
      <c r="T80" s="8"/>
      <c r="U80" s="8"/>
      <c r="V80" s="8"/>
      <c r="W80" s="8"/>
      <c r="X80" s="8"/>
      <c r="Y80" s="8"/>
      <c r="Z80" s="8"/>
    </row>
    <row r="81">
      <c r="A81" s="3" t="str">
        <f t="array" ref="A81">INDEX('final-RA-to-framework-summary'!$C$1:$T$1, 1, INT((ROW(A80)-1)/23)+1)</f>
        <v>F4</v>
      </c>
      <c r="B81" s="3" t="str">
        <f t="array" ref="B81">INDEX('final-RA-to-framework-summary'!$C$2:$T$2, 1, INT((ROW(B80)-1)/23)+1)</f>
        <v>Isaac Gym</v>
      </c>
      <c r="C81" s="3" t="str">
        <f t="array" ref="C81">INDEX('final-RA-to-framework-summary'!$B$4:$B$26, MOD(ROW(A80)-1, 23)+1)</f>
        <v>Function Approximator</v>
      </c>
      <c r="D81" s="3" t="str">
        <f t="array" ref="D81">INDEX('final-RA-to-framework-summary'!$C$4:$Z$26, MOD(ROW(A80)-1, 23)+1, INT((ROW(A80)-1)/23)+1)</f>
        <v>not implemented</v>
      </c>
      <c r="E81" s="8"/>
      <c r="F81" s="8"/>
      <c r="G81" s="8"/>
      <c r="H81" s="8"/>
      <c r="I81" s="8"/>
      <c r="J81" s="8"/>
      <c r="K81" s="8"/>
      <c r="L81" s="8"/>
      <c r="M81" s="8"/>
      <c r="N81" s="8"/>
      <c r="O81" s="8"/>
      <c r="P81" s="8"/>
      <c r="Q81" s="8"/>
      <c r="R81" s="8"/>
      <c r="S81" s="8"/>
      <c r="T81" s="8"/>
      <c r="U81" s="8"/>
      <c r="V81" s="8"/>
      <c r="W81" s="8"/>
      <c r="X81" s="8"/>
      <c r="Y81" s="8"/>
      <c r="Z81" s="8"/>
    </row>
    <row r="82">
      <c r="A82" s="3" t="str">
        <f t="array" ref="A82">INDEX('final-RA-to-framework-summary'!$C$1:$T$1, 1, INT((ROW(A81)-1)/23)+1)</f>
        <v>F4</v>
      </c>
      <c r="B82" s="3" t="str">
        <f t="array" ref="B82">INDEX('final-RA-to-framework-summary'!$C$2:$T$2, 1, INT((ROW(B81)-1)/23)+1)</f>
        <v>Isaac Gym</v>
      </c>
      <c r="C82" s="3" t="str">
        <f t="array" ref="C82">INDEX('final-RA-to-framework-summary'!$B$4:$B$26, MOD(ROW(A81)-1, 23)+1)</f>
        <v>Buffer</v>
      </c>
      <c r="D82" s="3" t="str">
        <f t="array" ref="D82">INDEX('final-RA-to-framework-summary'!$C$4:$Z$26, MOD(ROW(A81)-1, 23)+1, INT((ROW(A81)-1)/23)+1)</f>
        <v>not implemented</v>
      </c>
      <c r="E82" s="8"/>
      <c r="F82" s="8"/>
      <c r="G82" s="8"/>
      <c r="H82" s="8"/>
      <c r="I82" s="8"/>
      <c r="J82" s="8"/>
      <c r="K82" s="8"/>
      <c r="L82" s="8"/>
      <c r="M82" s="8"/>
      <c r="N82" s="8"/>
      <c r="O82" s="8"/>
      <c r="P82" s="8"/>
      <c r="Q82" s="8"/>
      <c r="R82" s="8"/>
      <c r="S82" s="8"/>
      <c r="T82" s="8"/>
      <c r="U82" s="8"/>
      <c r="V82" s="8"/>
      <c r="W82" s="8"/>
      <c r="X82" s="8"/>
      <c r="Y82" s="8"/>
      <c r="Z82" s="8"/>
    </row>
    <row r="83">
      <c r="A83" s="3" t="str">
        <f t="array" ref="A83">INDEX('final-RA-to-framework-summary'!$C$1:$T$1, 1, INT((ROW(A82)-1)/23)+1)</f>
        <v>F4</v>
      </c>
      <c r="B83" s="3" t="str">
        <f t="array" ref="B83">INDEX('final-RA-to-framework-summary'!$C$2:$T$2, 1, INT((ROW(B82)-1)/23)+1)</f>
        <v>Isaac Gym</v>
      </c>
      <c r="C83" s="3" t="str">
        <f t="array" ref="C83">INDEX('final-RA-to-framework-summary'!$B$4:$B$26, MOD(ROW(A82)-1, 23)+1)</f>
        <v>Learner</v>
      </c>
      <c r="D83" s="3" t="str">
        <f t="array" ref="D83">INDEX('final-RA-to-framework-summary'!$C$4:$Z$26, MOD(ROW(A82)-1, 23)+1, INT((ROW(A82)-1)/23)+1)</f>
        <v>not implemented</v>
      </c>
      <c r="E83" s="8"/>
      <c r="F83" s="8"/>
      <c r="G83" s="8"/>
      <c r="H83" s="8"/>
      <c r="I83" s="8"/>
      <c r="J83" s="8"/>
      <c r="K83" s="8"/>
      <c r="L83" s="8"/>
      <c r="M83" s="8"/>
      <c r="N83" s="8"/>
      <c r="O83" s="8"/>
      <c r="P83" s="8"/>
      <c r="Q83" s="8"/>
      <c r="R83" s="8"/>
      <c r="S83" s="8"/>
      <c r="T83" s="8"/>
      <c r="U83" s="8"/>
      <c r="V83" s="8"/>
      <c r="W83" s="8"/>
      <c r="X83" s="8"/>
      <c r="Y83" s="8"/>
      <c r="Z83" s="8"/>
    </row>
    <row r="84">
      <c r="A84" s="3" t="str">
        <f t="array" ref="A84">INDEX('final-RA-to-framework-summary'!$C$1:$T$1, 1, INT((ROW(A83)-1)/23)+1)</f>
        <v>F4</v>
      </c>
      <c r="B84" s="3" t="str">
        <f t="array" ref="B84">INDEX('final-RA-to-framework-summary'!$C$2:$T$2, 1, INT((ROW(B83)-1)/23)+1)</f>
        <v>Isaac Gym</v>
      </c>
      <c r="C84" s="3" t="str">
        <f t="array" ref="C84">INDEX('final-RA-to-framework-summary'!$B$4:$B$26, MOD(ROW(A83)-1, 23)+1)</f>
        <v>Environment</v>
      </c>
      <c r="D84" s="3" t="str">
        <f t="array" ref="D84">INDEX('final-RA-to-framework-summary'!$C$4:$Z$26, MOD(ROW(A83)-1, 23)+1, INT((ROW(A83)-1)/23)+1)</f>
        <v>explicit</v>
      </c>
      <c r="E84" s="9" t="s">
        <v>177</v>
      </c>
      <c r="F84" s="10" t="s">
        <v>178</v>
      </c>
      <c r="G84" s="8"/>
      <c r="H84" s="8"/>
      <c r="I84" s="8"/>
      <c r="J84" s="8"/>
      <c r="K84" s="8"/>
      <c r="L84" s="8"/>
      <c r="M84" s="8"/>
      <c r="N84" s="8"/>
      <c r="O84" s="8"/>
      <c r="P84" s="8"/>
      <c r="Q84" s="8"/>
      <c r="R84" s="8"/>
      <c r="S84" s="8"/>
      <c r="T84" s="8"/>
      <c r="U84" s="8"/>
      <c r="V84" s="8"/>
      <c r="W84" s="8"/>
      <c r="X84" s="8"/>
      <c r="Y84" s="8"/>
      <c r="Z84" s="8"/>
    </row>
    <row r="85">
      <c r="A85" s="3" t="str">
        <f t="array" ref="A85">INDEX('final-RA-to-framework-summary'!$C$1:$T$1, 1, INT((ROW(A84)-1)/23)+1)</f>
        <v>F4</v>
      </c>
      <c r="B85" s="3" t="str">
        <f t="array" ref="B85">INDEX('final-RA-to-framework-summary'!$C$2:$T$2, 1, INT((ROW(B84)-1)/23)+1)</f>
        <v>Isaac Gym</v>
      </c>
      <c r="C85" s="3" t="str">
        <f t="array" ref="C85">INDEX('final-RA-to-framework-summary'!$B$4:$B$26, MOD(ROW(A84)-1, 23)+1)</f>
        <v>Environment Core</v>
      </c>
      <c r="D85" s="3" t="str">
        <f t="array" ref="D85">INDEX('final-RA-to-framework-summary'!$C$4:$Z$26, MOD(ROW(A84)-1, 23)+1, INT((ROW(A84)-1)/23)+1)</f>
        <v>explicit</v>
      </c>
      <c r="E85" s="9" t="s">
        <v>179</v>
      </c>
      <c r="F85" s="10" t="s">
        <v>180</v>
      </c>
      <c r="G85" s="10" t="s">
        <v>181</v>
      </c>
      <c r="H85" s="8"/>
      <c r="I85" s="8"/>
      <c r="J85" s="8"/>
      <c r="K85" s="8"/>
      <c r="L85" s="8"/>
      <c r="M85" s="8"/>
      <c r="N85" s="8"/>
      <c r="O85" s="8"/>
      <c r="P85" s="8"/>
      <c r="Q85" s="8"/>
      <c r="R85" s="8"/>
      <c r="S85" s="8"/>
      <c r="T85" s="8"/>
      <c r="U85" s="8"/>
      <c r="V85" s="8"/>
      <c r="W85" s="8"/>
      <c r="X85" s="8"/>
      <c r="Y85" s="8"/>
      <c r="Z85" s="8"/>
    </row>
    <row r="86">
      <c r="A86" s="3" t="str">
        <f t="array" ref="A86">INDEX('final-RA-to-framework-summary'!$C$1:$T$1, 1, INT((ROW(A85)-1)/23)+1)</f>
        <v>F4</v>
      </c>
      <c r="B86" s="3" t="str">
        <f t="array" ref="B86">INDEX('final-RA-to-framework-summary'!$C$2:$T$2, 1, INT((ROW(B85)-1)/23)+1)</f>
        <v>Isaac Gym</v>
      </c>
      <c r="C86" s="3" t="str">
        <f t="array" ref="C86">INDEX('final-RA-to-framework-summary'!$B$4:$B$26, MOD(ROW(A85)-1, 23)+1)</f>
        <v>Simulator</v>
      </c>
      <c r="D86" s="3" t="str">
        <f t="array" ref="D86">INDEX('final-RA-to-framework-summary'!$C$4:$Z$26, MOD(ROW(A85)-1, 23)+1, INT((ROW(A85)-1)/23)+1)</f>
        <v>external</v>
      </c>
      <c r="E86" s="9" t="s">
        <v>182</v>
      </c>
      <c r="F86" s="10" t="s">
        <v>183</v>
      </c>
      <c r="G86" s="10" t="s">
        <v>184</v>
      </c>
      <c r="H86" s="10" t="s">
        <v>185</v>
      </c>
      <c r="I86" s="8"/>
      <c r="J86" s="8"/>
      <c r="K86" s="8"/>
      <c r="L86" s="8"/>
      <c r="M86" s="8"/>
      <c r="N86" s="8"/>
      <c r="O86" s="8"/>
      <c r="P86" s="8"/>
      <c r="Q86" s="8"/>
      <c r="R86" s="8"/>
      <c r="S86" s="8"/>
      <c r="T86" s="8"/>
      <c r="U86" s="8"/>
      <c r="V86" s="8"/>
      <c r="W86" s="8"/>
      <c r="X86" s="8"/>
      <c r="Y86" s="8"/>
      <c r="Z86" s="8"/>
    </row>
    <row r="87">
      <c r="A87" s="3" t="str">
        <f t="array" ref="A87">INDEX('final-RA-to-framework-summary'!$C$1:$T$1, 1, INT((ROW(A86)-1)/23)+1)</f>
        <v>F4</v>
      </c>
      <c r="B87" s="3" t="str">
        <f t="array" ref="B87">INDEX('final-RA-to-framework-summary'!$C$2:$T$2, 1, INT((ROW(B86)-1)/23)+1)</f>
        <v>Isaac Gym</v>
      </c>
      <c r="C87" s="3" t="str">
        <f t="array" ref="C87">INDEX('final-RA-to-framework-summary'!$B$4:$B$26, MOD(ROW(A86)-1, 23)+1)</f>
        <v>Simulator Adapter</v>
      </c>
      <c r="D87" s="3" t="str">
        <f t="array" ref="D87">INDEX('final-RA-to-framework-summary'!$C$4:$Z$26, MOD(ROW(A86)-1, 23)+1, INT((ROW(A86)-1)/23)+1)</f>
        <v>implicit</v>
      </c>
      <c r="E87" s="9" t="s">
        <v>186</v>
      </c>
      <c r="F87" s="10" t="s">
        <v>187</v>
      </c>
      <c r="G87" s="10" t="s">
        <v>188</v>
      </c>
      <c r="H87" s="8"/>
      <c r="I87" s="8"/>
      <c r="J87" s="8"/>
      <c r="K87" s="8"/>
      <c r="L87" s="8"/>
      <c r="M87" s="8"/>
      <c r="N87" s="8"/>
      <c r="O87" s="8"/>
      <c r="P87" s="8"/>
      <c r="Q87" s="8"/>
      <c r="R87" s="8"/>
      <c r="S87" s="8"/>
      <c r="T87" s="8"/>
      <c r="U87" s="8"/>
      <c r="V87" s="8"/>
      <c r="W87" s="8"/>
      <c r="X87" s="8"/>
      <c r="Y87" s="8"/>
      <c r="Z87" s="8"/>
    </row>
    <row r="88">
      <c r="A88" s="3" t="str">
        <f t="array" ref="A88">INDEX('final-RA-to-framework-summary'!$C$1:$T$1, 1, INT((ROW(A87)-1)/23)+1)</f>
        <v>F4</v>
      </c>
      <c r="B88" s="3" t="str">
        <f t="array" ref="B88">INDEX('final-RA-to-framework-summary'!$C$2:$T$2, 1, INT((ROW(B87)-1)/23)+1)</f>
        <v>Isaac Gym</v>
      </c>
      <c r="C88" s="3" t="str">
        <f t="array" ref="C88">INDEX('final-RA-to-framework-summary'!$B$4:$B$26, MOD(ROW(A87)-1, 23)+1)</f>
        <v>Checkpoint Manager</v>
      </c>
      <c r="D88" s="3" t="str">
        <f t="array" ref="D88">INDEX('final-RA-to-framework-summary'!$C$4:$Z$26, MOD(ROW(A87)-1, 23)+1, INT((ROW(A87)-1)/23)+1)</f>
        <v>not implemented</v>
      </c>
      <c r="E88" s="8"/>
      <c r="F88" s="8"/>
      <c r="G88" s="8"/>
      <c r="H88" s="8"/>
      <c r="I88" s="8"/>
      <c r="J88" s="8"/>
      <c r="K88" s="8"/>
      <c r="L88" s="8"/>
      <c r="M88" s="8"/>
      <c r="N88" s="8"/>
      <c r="O88" s="8"/>
      <c r="P88" s="8"/>
      <c r="Q88" s="8"/>
      <c r="R88" s="8"/>
      <c r="S88" s="8"/>
      <c r="T88" s="8"/>
      <c r="U88" s="8"/>
      <c r="V88" s="8"/>
      <c r="W88" s="8"/>
      <c r="X88" s="8"/>
      <c r="Y88" s="8"/>
      <c r="Z88" s="8"/>
    </row>
    <row r="89">
      <c r="A89" s="3" t="str">
        <f t="array" ref="A89">INDEX('final-RA-to-framework-summary'!$C$1:$T$1, 1, INT((ROW(A88)-1)/23)+1)</f>
        <v>F4</v>
      </c>
      <c r="B89" s="3" t="str">
        <f t="array" ref="B89">INDEX('final-RA-to-framework-summary'!$C$2:$T$2, 1, INT((ROW(B88)-1)/23)+1)</f>
        <v>Isaac Gym</v>
      </c>
      <c r="C89" s="3" t="str">
        <f t="array" ref="C89">INDEX('final-RA-to-framework-summary'!$B$4:$B$26, MOD(ROW(A88)-1, 23)+1)</f>
        <v>Environment Parameter 
Manager</v>
      </c>
      <c r="D89" s="3" t="str">
        <f t="array" ref="D89">INDEX('final-RA-to-framework-summary'!$C$4:$Z$26, MOD(ROW(A88)-1, 23)+1, INT((ROW(A88)-1)/23)+1)</f>
        <v>implicit</v>
      </c>
      <c r="E89" s="9" t="s">
        <v>189</v>
      </c>
      <c r="F89" s="10" t="s">
        <v>190</v>
      </c>
      <c r="G89" s="10" t="s">
        <v>191</v>
      </c>
      <c r="H89" s="8"/>
      <c r="I89" s="8"/>
      <c r="J89" s="8"/>
      <c r="K89" s="8"/>
      <c r="L89" s="8"/>
      <c r="M89" s="8"/>
      <c r="N89" s="8"/>
      <c r="O89" s="8"/>
      <c r="P89" s="8"/>
      <c r="Q89" s="8"/>
      <c r="R89" s="8"/>
      <c r="S89" s="8"/>
      <c r="T89" s="8"/>
      <c r="U89" s="8"/>
      <c r="V89" s="8"/>
      <c r="W89" s="8"/>
      <c r="X89" s="8"/>
      <c r="Y89" s="8"/>
      <c r="Z89" s="8"/>
    </row>
    <row r="90">
      <c r="A90" s="3" t="str">
        <f t="array" ref="A90">INDEX('final-RA-to-framework-summary'!$C$1:$T$1, 1, INT((ROW(A89)-1)/23)+1)</f>
        <v>F4</v>
      </c>
      <c r="B90" s="3" t="str">
        <f t="array" ref="B90">INDEX('final-RA-to-framework-summary'!$C$2:$T$2, 1, INT((ROW(B89)-1)/23)+1)</f>
        <v>Isaac Gym</v>
      </c>
      <c r="C90" s="3" t="str">
        <f t="array" ref="C90">INDEX('final-RA-to-framework-summary'!$B$4:$B$26, MOD(ROW(A89)-1, 23)+1)</f>
        <v>Renderer</v>
      </c>
      <c r="D90" s="3" t="str">
        <f t="array" ref="D90">INDEX('final-RA-to-framework-summary'!$C$4:$Z$26, MOD(ROW(A89)-1, 23)+1, INT((ROW(A89)-1)/23)+1)</f>
        <v>explicit</v>
      </c>
      <c r="E90" s="9" t="s">
        <v>192</v>
      </c>
      <c r="F90" s="10" t="s">
        <v>193</v>
      </c>
      <c r="G90" s="10" t="s">
        <v>194</v>
      </c>
      <c r="H90" s="8"/>
      <c r="I90" s="8"/>
      <c r="J90" s="8"/>
      <c r="K90" s="8"/>
      <c r="L90" s="8"/>
      <c r="M90" s="8"/>
      <c r="N90" s="8"/>
      <c r="O90" s="8"/>
      <c r="P90" s="8"/>
      <c r="Q90" s="8"/>
      <c r="R90" s="8"/>
      <c r="S90" s="8"/>
      <c r="T90" s="8"/>
      <c r="U90" s="8"/>
      <c r="V90" s="8"/>
      <c r="W90" s="8"/>
      <c r="X90" s="8"/>
      <c r="Y90" s="8"/>
      <c r="Z90" s="8"/>
    </row>
    <row r="91">
      <c r="A91" s="3" t="str">
        <f t="array" ref="A91">INDEX('final-RA-to-framework-summary'!$C$1:$T$1, 1, INT((ROW(A90)-1)/23)+1)</f>
        <v>F4</v>
      </c>
      <c r="B91" s="3" t="str">
        <f t="array" ref="B91">INDEX('final-RA-to-framework-summary'!$C$2:$T$2, 1, INT((ROW(B90)-1)/23)+1)</f>
        <v>Isaac Gym</v>
      </c>
      <c r="C91" s="3" t="str">
        <f t="array" ref="C91">INDEX('final-RA-to-framework-summary'!$B$4:$B$26, MOD(ROW(A90)-1, 23)+1)</f>
        <v>Recorder</v>
      </c>
      <c r="D91" s="3" t="str">
        <f t="array" ref="D91">INDEX('final-RA-to-framework-summary'!$C$4:$Z$26, MOD(ROW(A90)-1, 23)+1, INT((ROW(A90)-1)/23)+1)</f>
        <v>implicit</v>
      </c>
      <c r="E91" s="9" t="s">
        <v>195</v>
      </c>
      <c r="F91" s="10" t="s">
        <v>196</v>
      </c>
      <c r="G91" s="10" t="s">
        <v>197</v>
      </c>
      <c r="H91" s="8"/>
      <c r="I91" s="8"/>
      <c r="J91" s="8"/>
      <c r="K91" s="8"/>
      <c r="L91" s="8"/>
      <c r="M91" s="8"/>
      <c r="N91" s="8"/>
      <c r="O91" s="8"/>
      <c r="P91" s="8"/>
      <c r="Q91" s="8"/>
      <c r="R91" s="8"/>
      <c r="S91" s="8"/>
      <c r="T91" s="8"/>
      <c r="U91" s="8"/>
      <c r="V91" s="8"/>
      <c r="W91" s="8"/>
      <c r="X91" s="8"/>
      <c r="Y91" s="8"/>
      <c r="Z91" s="8"/>
    </row>
    <row r="92">
      <c r="A92" s="3" t="str">
        <f t="array" ref="A92">INDEX('final-RA-to-framework-summary'!$C$1:$T$1, 1, INT((ROW(A91)-1)/23)+1)</f>
        <v>F4</v>
      </c>
      <c r="B92" s="3" t="str">
        <f t="array" ref="B92">INDEX('final-RA-to-framework-summary'!$C$2:$T$2, 1, INT((ROW(B91)-1)/23)+1)</f>
        <v>Isaac Gym</v>
      </c>
      <c r="C92" s="3" t="str">
        <f t="array" ref="C92">INDEX('final-RA-to-framework-summary'!$B$4:$B$26, MOD(ROW(A91)-1, 23)+1)</f>
        <v>Logger</v>
      </c>
      <c r="D92" s="3" t="str">
        <f t="array" ref="D92">INDEX('final-RA-to-framework-summary'!$C$4:$Z$26, MOD(ROW(A91)-1, 23)+1, INT((ROW(A91)-1)/23)+1)</f>
        <v>explicit</v>
      </c>
      <c r="E92" s="9" t="s">
        <v>198</v>
      </c>
      <c r="F92" s="10" t="s">
        <v>199</v>
      </c>
      <c r="G92" s="8"/>
      <c r="H92" s="8"/>
      <c r="I92" s="8"/>
      <c r="J92" s="8"/>
      <c r="K92" s="8"/>
      <c r="L92" s="8"/>
      <c r="M92" s="8"/>
      <c r="N92" s="8"/>
      <c r="O92" s="8"/>
      <c r="P92" s="8"/>
      <c r="Q92" s="8"/>
      <c r="R92" s="8"/>
      <c r="S92" s="8"/>
      <c r="T92" s="8"/>
      <c r="U92" s="8"/>
      <c r="V92" s="8"/>
      <c r="W92" s="8"/>
      <c r="X92" s="8"/>
      <c r="Y92" s="8"/>
      <c r="Z92" s="8"/>
    </row>
    <row r="93">
      <c r="A93" s="3" t="str">
        <f t="array" ref="A93">INDEX('final-RA-to-framework-summary'!$C$1:$T$1, 1, INT((ROW(A92)-1)/23)+1)</f>
        <v>F4</v>
      </c>
      <c r="B93" s="3" t="str">
        <f t="array" ref="B93">INDEX('final-RA-to-framework-summary'!$C$2:$T$2, 1, INT((ROW(B92)-1)/23)+1)</f>
        <v>Isaac Gym</v>
      </c>
      <c r="C93" s="3" t="str">
        <f t="array" ref="C93">INDEX('final-RA-to-framework-summary'!$B$4:$B$26, MOD(ROW(A92)-1, 23)+1)</f>
        <v>Reporter</v>
      </c>
      <c r="D93" s="3" t="str">
        <f t="array" ref="D93">INDEX('final-RA-to-framework-summary'!$C$4:$Z$26, MOD(ROW(A92)-1, 23)+1, INT((ROW(A92)-1)/23)+1)</f>
        <v>external</v>
      </c>
      <c r="E93" s="9" t="s">
        <v>200</v>
      </c>
      <c r="F93" s="10" t="s">
        <v>201</v>
      </c>
      <c r="G93" s="10" t="s">
        <v>202</v>
      </c>
      <c r="H93" s="10" t="s">
        <v>203</v>
      </c>
      <c r="I93" s="8"/>
      <c r="J93" s="8"/>
      <c r="K93" s="8"/>
      <c r="L93" s="8"/>
      <c r="M93" s="8"/>
      <c r="N93" s="8"/>
      <c r="O93" s="8"/>
      <c r="P93" s="8"/>
      <c r="Q93" s="8"/>
      <c r="R93" s="8"/>
      <c r="S93" s="8"/>
      <c r="T93" s="8"/>
      <c r="U93" s="8"/>
      <c r="V93" s="8"/>
      <c r="W93" s="8"/>
      <c r="X93" s="8"/>
      <c r="Y93" s="8"/>
      <c r="Z93" s="8"/>
    </row>
    <row r="94">
      <c r="A94" s="3" t="str">
        <f t="array" ref="A94">INDEX('final-RA-to-framework-summary'!$C$1:$T$1, 1, INT((ROW(A93)-1)/23)+1)</f>
        <v>F5</v>
      </c>
      <c r="B94" s="3" t="str">
        <f t="array" ref="B94">INDEX('final-RA-to-framework-summary'!$C$2:$T$2, 1, INT((ROW(B93)-1)/23)+1)</f>
        <v>Isaac Lab</v>
      </c>
      <c r="C94" s="3" t="str">
        <f t="array" ref="C94">INDEX('final-RA-to-framework-summary'!$B$4:$B$26, MOD(ROW(A93)-1, 23)+1)</f>
        <v>Experiment Orchestrator</v>
      </c>
      <c r="D94" s="3" t="str">
        <f t="array" ref="D94">INDEX('final-RA-to-framework-summary'!$C$4:$Z$26, MOD(ROW(A93)-1, 23)+1, INT((ROW(A93)-1)/23)+1)</f>
        <v>not implemented</v>
      </c>
      <c r="E94" s="8"/>
      <c r="F94" s="8"/>
      <c r="G94" s="8"/>
      <c r="H94" s="8"/>
      <c r="I94" s="8"/>
      <c r="J94" s="8"/>
      <c r="K94" s="8"/>
      <c r="L94" s="8"/>
      <c r="M94" s="8"/>
      <c r="N94" s="8"/>
      <c r="O94" s="8"/>
      <c r="P94" s="8"/>
      <c r="Q94" s="8"/>
      <c r="R94" s="8"/>
      <c r="S94" s="8"/>
      <c r="T94" s="8"/>
      <c r="U94" s="8"/>
      <c r="V94" s="8"/>
      <c r="W94" s="8"/>
      <c r="X94" s="8"/>
      <c r="Y94" s="8"/>
      <c r="Z94" s="8"/>
    </row>
    <row r="95">
      <c r="A95" s="3" t="str">
        <f t="array" ref="A95">INDEX('final-RA-to-framework-summary'!$C$1:$T$1, 1, INT((ROW(A94)-1)/23)+1)</f>
        <v>F5</v>
      </c>
      <c r="B95" s="3" t="str">
        <f t="array" ref="B95">INDEX('final-RA-to-framework-summary'!$C$2:$T$2, 1, INT((ROW(B94)-1)/23)+1)</f>
        <v>Isaac Lab</v>
      </c>
      <c r="C95" s="3" t="str">
        <f t="array" ref="C95">INDEX('final-RA-to-framework-summary'!$B$4:$B$26, MOD(ROW(A94)-1, 23)+1)</f>
        <v>Experiment Manager</v>
      </c>
      <c r="D95" s="3" t="str">
        <f t="array" ref="D95">INDEX('final-RA-to-framework-summary'!$C$4:$Z$26, MOD(ROW(A94)-1, 23)+1, INT((ROW(A94)-1)/23)+1)</f>
        <v>not implemented</v>
      </c>
      <c r="E95" s="8"/>
      <c r="F95" s="8"/>
      <c r="G95" s="8"/>
      <c r="H95" s="8"/>
      <c r="I95" s="8"/>
      <c r="J95" s="8"/>
      <c r="K95" s="8"/>
      <c r="L95" s="8"/>
      <c r="M95" s="8"/>
      <c r="N95" s="8"/>
      <c r="O95" s="8"/>
      <c r="P95" s="8"/>
      <c r="Q95" s="8"/>
      <c r="R95" s="8"/>
      <c r="S95" s="8"/>
      <c r="T95" s="8"/>
      <c r="U95" s="8"/>
      <c r="V95" s="8"/>
      <c r="W95" s="8"/>
      <c r="X95" s="8"/>
      <c r="Y95" s="8"/>
      <c r="Z95" s="8"/>
    </row>
    <row r="96">
      <c r="A96" s="3" t="str">
        <f t="array" ref="A96">INDEX('final-RA-to-framework-summary'!$C$1:$T$1, 1, INT((ROW(A95)-1)/23)+1)</f>
        <v>F5</v>
      </c>
      <c r="B96" s="3" t="str">
        <f t="array" ref="B96">INDEX('final-RA-to-framework-summary'!$C$2:$T$2, 1, INT((ROW(B95)-1)/23)+1)</f>
        <v>Isaac Lab</v>
      </c>
      <c r="C96" s="3" t="str">
        <f t="array" ref="C96">INDEX('final-RA-to-framework-summary'!$B$4:$B$26, MOD(ROW(A95)-1, 23)+1)</f>
        <v>Hyperparameter Tuner</v>
      </c>
      <c r="D96" s="3" t="str">
        <f t="array" ref="D96">INDEX('final-RA-to-framework-summary'!$C$4:$Z$26, MOD(ROW(A95)-1, 23)+1, INT((ROW(A95)-1)/23)+1)</f>
        <v>not implemented</v>
      </c>
      <c r="E96" s="8"/>
      <c r="F96" s="8"/>
      <c r="G96" s="8"/>
      <c r="H96" s="8"/>
      <c r="I96" s="8"/>
      <c r="J96" s="8"/>
      <c r="K96" s="8"/>
      <c r="L96" s="8"/>
      <c r="M96" s="8"/>
      <c r="N96" s="8"/>
      <c r="O96" s="8"/>
      <c r="P96" s="8"/>
      <c r="Q96" s="8"/>
      <c r="R96" s="8"/>
      <c r="S96" s="8"/>
      <c r="T96" s="8"/>
      <c r="U96" s="8"/>
      <c r="V96" s="8"/>
      <c r="W96" s="8"/>
      <c r="X96" s="8"/>
      <c r="Y96" s="8"/>
      <c r="Z96" s="8"/>
    </row>
    <row r="97">
      <c r="A97" s="3" t="str">
        <f t="array" ref="A97">INDEX('final-RA-to-framework-summary'!$C$1:$T$1, 1, INT((ROW(A96)-1)/23)+1)</f>
        <v>F5</v>
      </c>
      <c r="B97" s="3" t="str">
        <f t="array" ref="B97">INDEX('final-RA-to-framework-summary'!$C$2:$T$2, 1, INT((ROW(B96)-1)/23)+1)</f>
        <v>Isaac Lab</v>
      </c>
      <c r="C97" s="3" t="str">
        <f t="array" ref="C97">INDEX('final-RA-to-framework-summary'!$B$4:$B$26, MOD(ROW(A96)-1, 23)+1)</f>
        <v>Benchmark Manager</v>
      </c>
      <c r="D97" s="3" t="str">
        <f t="array" ref="D97">INDEX('final-RA-to-framework-summary'!$C$4:$Z$26, MOD(ROW(A96)-1, 23)+1, INT((ROW(A96)-1)/23)+1)</f>
        <v>not implemented</v>
      </c>
      <c r="E97" s="8"/>
      <c r="F97" s="8"/>
      <c r="G97" s="8"/>
      <c r="H97" s="8"/>
      <c r="I97" s="8"/>
      <c r="J97" s="8"/>
      <c r="K97" s="8"/>
      <c r="L97" s="8"/>
      <c r="M97" s="8"/>
      <c r="N97" s="8"/>
      <c r="O97" s="8"/>
      <c r="P97" s="8"/>
      <c r="Q97" s="8"/>
      <c r="R97" s="8"/>
      <c r="S97" s="8"/>
      <c r="T97" s="8"/>
      <c r="U97" s="8"/>
      <c r="V97" s="8"/>
      <c r="W97" s="8"/>
      <c r="X97" s="8"/>
      <c r="Y97" s="8"/>
      <c r="Z97" s="8"/>
    </row>
    <row r="98">
      <c r="A98" s="3" t="str">
        <f t="array" ref="A98">INDEX('final-RA-to-framework-summary'!$C$1:$T$1, 1, INT((ROW(A97)-1)/23)+1)</f>
        <v>F5</v>
      </c>
      <c r="B98" s="3" t="str">
        <f t="array" ref="B98">INDEX('final-RA-to-framework-summary'!$C$2:$T$2, 1, INT((ROW(B97)-1)/23)+1)</f>
        <v>Isaac Lab</v>
      </c>
      <c r="C98" s="3" t="str">
        <f t="array" ref="C98">INDEX('final-RA-to-framework-summary'!$B$4:$B$26, MOD(ROW(A97)-1, 23)+1)</f>
        <v>Framework Orchestrator</v>
      </c>
      <c r="D98" s="3" t="str">
        <f t="array" ref="D98">INDEX('final-RA-to-framework-summary'!$C$4:$Z$26, MOD(ROW(A97)-1, 23)+1, INT((ROW(A97)-1)/23)+1)</f>
        <v>not implemented</v>
      </c>
      <c r="E98" s="8"/>
      <c r="F98" s="8"/>
      <c r="G98" s="8"/>
      <c r="H98" s="8"/>
      <c r="I98" s="8"/>
      <c r="J98" s="8"/>
      <c r="K98" s="8"/>
      <c r="L98" s="8"/>
      <c r="M98" s="8"/>
      <c r="N98" s="8"/>
      <c r="O98" s="8"/>
      <c r="P98" s="8"/>
      <c r="Q98" s="8"/>
      <c r="R98" s="8"/>
      <c r="S98" s="8"/>
      <c r="T98" s="8"/>
      <c r="U98" s="8"/>
      <c r="V98" s="8"/>
      <c r="W98" s="8"/>
      <c r="X98" s="8"/>
      <c r="Y98" s="8"/>
      <c r="Z98" s="8"/>
    </row>
    <row r="99">
      <c r="A99" s="3" t="str">
        <f t="array" ref="A99">INDEX('final-RA-to-framework-summary'!$C$1:$T$1, 1, INT((ROW(A98)-1)/23)+1)</f>
        <v>F5</v>
      </c>
      <c r="B99" s="3" t="str">
        <f t="array" ref="B99">INDEX('final-RA-to-framework-summary'!$C$2:$T$2, 1, INT((ROW(B98)-1)/23)+1)</f>
        <v>Isaac Lab</v>
      </c>
      <c r="C99" s="3" t="str">
        <f t="array" ref="C99">INDEX('final-RA-to-framework-summary'!$B$4:$B$26, MOD(ROW(A98)-1, 23)+1)</f>
        <v>Lifecycle Manager</v>
      </c>
      <c r="D99" s="3" t="str">
        <f t="array" ref="D99">INDEX('final-RA-to-framework-summary'!$C$4:$Z$26, MOD(ROW(A98)-1, 23)+1, INT((ROW(A98)-1)/23)+1)</f>
        <v>not implemented</v>
      </c>
      <c r="E99" s="8"/>
      <c r="F99" s="8"/>
      <c r="G99" s="8"/>
      <c r="H99" s="8"/>
      <c r="I99" s="8"/>
      <c r="J99" s="8"/>
      <c r="K99" s="8"/>
      <c r="L99" s="8"/>
      <c r="M99" s="8"/>
      <c r="N99" s="8"/>
      <c r="O99" s="8"/>
      <c r="P99" s="8"/>
      <c r="Q99" s="8"/>
      <c r="R99" s="8"/>
      <c r="S99" s="8"/>
      <c r="T99" s="8"/>
      <c r="U99" s="8"/>
      <c r="V99" s="8"/>
      <c r="W99" s="8"/>
      <c r="X99" s="8"/>
      <c r="Y99" s="8"/>
      <c r="Z99" s="8"/>
    </row>
    <row r="100">
      <c r="A100" s="3" t="str">
        <f t="array" ref="A100">INDEX('final-RA-to-framework-summary'!$C$1:$T$1, 1, INT((ROW(A99)-1)/23)+1)</f>
        <v>F5</v>
      </c>
      <c r="B100" s="3" t="str">
        <f t="array" ref="B100">INDEX('final-RA-to-framework-summary'!$C$2:$T$2, 1, INT((ROW(B99)-1)/23)+1)</f>
        <v>Isaac Lab</v>
      </c>
      <c r="C100" s="3" t="str">
        <f t="array" ref="C100">INDEX('final-RA-to-framework-summary'!$B$4:$B$26, MOD(ROW(A99)-1, 23)+1)</f>
        <v>Configuration Manager</v>
      </c>
      <c r="D100" s="3" t="str">
        <f t="array" ref="D100">INDEX('final-RA-to-framework-summary'!$C$4:$Z$26, MOD(ROW(A99)-1, 23)+1, INT((ROW(A99)-1)/23)+1)</f>
        <v>external</v>
      </c>
      <c r="E100" s="9" t="s">
        <v>204</v>
      </c>
      <c r="F100" s="10" t="s">
        <v>205</v>
      </c>
      <c r="G100" s="8"/>
      <c r="H100" s="10" t="s">
        <v>206</v>
      </c>
      <c r="I100" s="8"/>
      <c r="J100" s="8"/>
      <c r="K100" s="8"/>
      <c r="L100" s="8"/>
      <c r="M100" s="8"/>
      <c r="N100" s="8"/>
      <c r="O100" s="8"/>
      <c r="P100" s="8"/>
      <c r="Q100" s="8"/>
      <c r="R100" s="8"/>
      <c r="S100" s="8"/>
      <c r="T100" s="8"/>
      <c r="U100" s="8"/>
      <c r="V100" s="8"/>
      <c r="W100" s="8"/>
      <c r="X100" s="8"/>
      <c r="Y100" s="8"/>
      <c r="Z100" s="8"/>
    </row>
    <row r="101">
      <c r="A101" s="3" t="str">
        <f t="array" ref="A101">INDEX('final-RA-to-framework-summary'!$C$1:$T$1, 1, INT((ROW(A100)-1)/23)+1)</f>
        <v>F5</v>
      </c>
      <c r="B101" s="3" t="str">
        <f t="array" ref="B101">INDEX('final-RA-to-framework-summary'!$C$2:$T$2, 1, INT((ROW(B100)-1)/23)+1)</f>
        <v>Isaac Lab</v>
      </c>
      <c r="C101" s="3" t="str">
        <f t="array" ref="C101">INDEX('final-RA-to-framework-summary'!$B$4:$B$26, MOD(ROW(A100)-1, 23)+1)</f>
        <v>Multi-Agent Coordinator</v>
      </c>
      <c r="D101" s="3" t="str">
        <f t="array" ref="D101">INDEX('final-RA-to-framework-summary'!$C$4:$Z$26, MOD(ROW(A100)-1, 23)+1, INT((ROW(A100)-1)/23)+1)</f>
        <v>implicit</v>
      </c>
      <c r="E101" s="9" t="s">
        <v>207</v>
      </c>
      <c r="F101" s="10" t="s">
        <v>208</v>
      </c>
      <c r="G101" s="10" t="s">
        <v>209</v>
      </c>
      <c r="H101" s="8"/>
      <c r="I101" s="8"/>
      <c r="J101" s="8"/>
      <c r="K101" s="8"/>
      <c r="L101" s="8"/>
      <c r="M101" s="8"/>
      <c r="N101" s="8"/>
      <c r="O101" s="8"/>
      <c r="P101" s="8"/>
      <c r="Q101" s="8"/>
      <c r="R101" s="8"/>
      <c r="S101" s="8"/>
      <c r="T101" s="8"/>
      <c r="U101" s="8"/>
      <c r="V101" s="8"/>
      <c r="W101" s="8"/>
      <c r="X101" s="8"/>
      <c r="Y101" s="8"/>
      <c r="Z101" s="8"/>
    </row>
    <row r="102">
      <c r="A102" s="3" t="str">
        <f t="array" ref="A102">INDEX('final-RA-to-framework-summary'!$C$1:$T$1, 1, INT((ROW(A101)-1)/23)+1)</f>
        <v>F5</v>
      </c>
      <c r="B102" s="3" t="str">
        <f t="array" ref="B102">INDEX('final-RA-to-framework-summary'!$C$2:$T$2, 1, INT((ROW(B101)-1)/23)+1)</f>
        <v>Isaac Lab</v>
      </c>
      <c r="C102" s="3" t="str">
        <f t="array" ref="C102">INDEX('final-RA-to-framework-summary'!$B$4:$B$26, MOD(ROW(A101)-1, 23)+1)</f>
        <v>Distributed Execution 
Coordinator</v>
      </c>
      <c r="D102" s="3" t="str">
        <f t="array" ref="D102">INDEX('final-RA-to-framework-summary'!$C$4:$Z$26, MOD(ROW(A101)-1, 23)+1, INT((ROW(A101)-1)/23)+1)</f>
        <v>not implemented</v>
      </c>
      <c r="E102" s="8"/>
      <c r="F102" s="8"/>
      <c r="G102" s="8"/>
      <c r="H102" s="8"/>
      <c r="I102" s="8"/>
      <c r="J102" s="8"/>
      <c r="K102" s="8"/>
      <c r="L102" s="8"/>
      <c r="M102" s="8"/>
      <c r="N102" s="8"/>
      <c r="O102" s="8"/>
      <c r="P102" s="8"/>
      <c r="Q102" s="8"/>
      <c r="R102" s="8"/>
      <c r="S102" s="8"/>
      <c r="T102" s="8"/>
      <c r="U102" s="8"/>
      <c r="V102" s="8"/>
      <c r="W102" s="8"/>
      <c r="X102" s="8"/>
      <c r="Y102" s="8"/>
      <c r="Z102" s="8"/>
    </row>
    <row r="103">
      <c r="A103" s="3" t="str">
        <f t="array" ref="A103">INDEX('final-RA-to-framework-summary'!$C$1:$T$1, 1, INT((ROW(A102)-1)/23)+1)</f>
        <v>F5</v>
      </c>
      <c r="B103" s="3" t="str">
        <f t="array" ref="B103">INDEX('final-RA-to-framework-summary'!$C$2:$T$2, 1, INT((ROW(B102)-1)/23)+1)</f>
        <v>Isaac Lab</v>
      </c>
      <c r="C103" s="3" t="str">
        <f t="array" ref="C103">INDEX('final-RA-to-framework-summary'!$B$4:$B$26, MOD(ROW(A102)-1, 23)+1)</f>
        <v>Agent</v>
      </c>
      <c r="D103" s="3" t="str">
        <f t="array" ref="D103">INDEX('final-RA-to-framework-summary'!$C$4:$Z$26, MOD(ROW(A102)-1, 23)+1, INT((ROW(A102)-1)/23)+1)</f>
        <v>not implemented</v>
      </c>
      <c r="E103" s="8"/>
      <c r="F103" s="8"/>
      <c r="G103" s="8"/>
      <c r="H103" s="8"/>
      <c r="I103" s="8"/>
      <c r="J103" s="8"/>
      <c r="K103" s="8"/>
      <c r="L103" s="8"/>
      <c r="M103" s="8"/>
      <c r="N103" s="8"/>
      <c r="O103" s="8"/>
      <c r="P103" s="8"/>
      <c r="Q103" s="8"/>
      <c r="R103" s="8"/>
      <c r="S103" s="8"/>
      <c r="T103" s="8"/>
      <c r="U103" s="8"/>
      <c r="V103" s="8"/>
      <c r="W103" s="8"/>
      <c r="X103" s="8"/>
      <c r="Y103" s="8"/>
      <c r="Z103" s="8"/>
    </row>
    <row r="104">
      <c r="A104" s="3" t="str">
        <f t="array" ref="A104">INDEX('final-RA-to-framework-summary'!$C$1:$T$1, 1, INT((ROW(A103)-1)/23)+1)</f>
        <v>F5</v>
      </c>
      <c r="B104" s="3" t="str">
        <f t="array" ref="B104">INDEX('final-RA-to-framework-summary'!$C$2:$T$2, 1, INT((ROW(B103)-1)/23)+1)</f>
        <v>Isaac Lab</v>
      </c>
      <c r="C104" s="3" t="str">
        <f t="array" ref="C104">INDEX('final-RA-to-framework-summary'!$B$4:$B$26, MOD(ROW(A103)-1, 23)+1)</f>
        <v>Function Approximator</v>
      </c>
      <c r="D104" s="3" t="str">
        <f t="array" ref="D104">INDEX('final-RA-to-framework-summary'!$C$4:$Z$26, MOD(ROW(A103)-1, 23)+1, INT((ROW(A103)-1)/23)+1)</f>
        <v>not implemented</v>
      </c>
      <c r="E104" s="8"/>
      <c r="F104" s="8"/>
      <c r="G104" s="8"/>
      <c r="H104" s="8"/>
      <c r="I104" s="8"/>
      <c r="J104" s="8"/>
      <c r="K104" s="8"/>
      <c r="L104" s="8"/>
      <c r="M104" s="8"/>
      <c r="N104" s="8"/>
      <c r="O104" s="8"/>
      <c r="P104" s="8"/>
      <c r="Q104" s="8"/>
      <c r="R104" s="8"/>
      <c r="S104" s="8"/>
      <c r="T104" s="8"/>
      <c r="U104" s="8"/>
      <c r="V104" s="8"/>
      <c r="W104" s="8"/>
      <c r="X104" s="8"/>
      <c r="Y104" s="8"/>
      <c r="Z104" s="8"/>
    </row>
    <row r="105">
      <c r="A105" s="3" t="str">
        <f t="array" ref="A105">INDEX('final-RA-to-framework-summary'!$C$1:$T$1, 1, INT((ROW(A104)-1)/23)+1)</f>
        <v>F5</v>
      </c>
      <c r="B105" s="3" t="str">
        <f t="array" ref="B105">INDEX('final-RA-to-framework-summary'!$C$2:$T$2, 1, INT((ROW(B104)-1)/23)+1)</f>
        <v>Isaac Lab</v>
      </c>
      <c r="C105" s="3" t="str">
        <f t="array" ref="C105">INDEX('final-RA-to-framework-summary'!$B$4:$B$26, MOD(ROW(A104)-1, 23)+1)</f>
        <v>Buffer</v>
      </c>
      <c r="D105" s="3" t="str">
        <f t="array" ref="D105">INDEX('final-RA-to-framework-summary'!$C$4:$Z$26, MOD(ROW(A104)-1, 23)+1, INT((ROW(A104)-1)/23)+1)</f>
        <v>not implemented</v>
      </c>
      <c r="E105" s="8"/>
      <c r="F105" s="8"/>
      <c r="G105" s="8"/>
      <c r="H105" s="8"/>
      <c r="I105" s="8"/>
      <c r="J105" s="8"/>
      <c r="K105" s="8"/>
      <c r="L105" s="8"/>
      <c r="M105" s="8"/>
      <c r="N105" s="8"/>
      <c r="O105" s="8"/>
      <c r="P105" s="8"/>
      <c r="Q105" s="8"/>
      <c r="R105" s="8"/>
      <c r="S105" s="8"/>
      <c r="T105" s="8"/>
      <c r="U105" s="8"/>
      <c r="V105" s="8"/>
      <c r="W105" s="8"/>
      <c r="X105" s="8"/>
      <c r="Y105" s="8"/>
      <c r="Z105" s="8"/>
    </row>
    <row r="106">
      <c r="A106" s="3" t="str">
        <f t="array" ref="A106">INDEX('final-RA-to-framework-summary'!$C$1:$T$1, 1, INT((ROW(A105)-1)/23)+1)</f>
        <v>F5</v>
      </c>
      <c r="B106" s="3" t="str">
        <f t="array" ref="B106">INDEX('final-RA-to-framework-summary'!$C$2:$T$2, 1, INT((ROW(B105)-1)/23)+1)</f>
        <v>Isaac Lab</v>
      </c>
      <c r="C106" s="3" t="str">
        <f t="array" ref="C106">INDEX('final-RA-to-framework-summary'!$B$4:$B$26, MOD(ROW(A105)-1, 23)+1)</f>
        <v>Learner</v>
      </c>
      <c r="D106" s="3" t="str">
        <f t="array" ref="D106">INDEX('final-RA-to-framework-summary'!$C$4:$Z$26, MOD(ROW(A105)-1, 23)+1, INT((ROW(A105)-1)/23)+1)</f>
        <v>not implemented</v>
      </c>
      <c r="E106" s="8"/>
      <c r="F106" s="8"/>
      <c r="G106" s="8"/>
      <c r="H106" s="8"/>
      <c r="I106" s="8"/>
      <c r="J106" s="8"/>
      <c r="K106" s="8"/>
      <c r="L106" s="8"/>
      <c r="M106" s="8"/>
      <c r="N106" s="8"/>
      <c r="O106" s="8"/>
      <c r="P106" s="8"/>
      <c r="Q106" s="8"/>
      <c r="R106" s="8"/>
      <c r="S106" s="8"/>
      <c r="T106" s="8"/>
      <c r="U106" s="8"/>
      <c r="V106" s="8"/>
      <c r="W106" s="8"/>
      <c r="X106" s="8"/>
      <c r="Y106" s="8"/>
      <c r="Z106" s="8"/>
    </row>
    <row r="107">
      <c r="A107" s="3" t="str">
        <f t="array" ref="A107">INDEX('final-RA-to-framework-summary'!$C$1:$T$1, 1, INT((ROW(A106)-1)/23)+1)</f>
        <v>F5</v>
      </c>
      <c r="B107" s="3" t="str">
        <f t="array" ref="B107">INDEX('final-RA-to-framework-summary'!$C$2:$T$2, 1, INT((ROW(B106)-1)/23)+1)</f>
        <v>Isaac Lab</v>
      </c>
      <c r="C107" s="3" t="str">
        <f t="array" ref="C107">INDEX('final-RA-to-framework-summary'!$B$4:$B$26, MOD(ROW(A106)-1, 23)+1)</f>
        <v>Environment</v>
      </c>
      <c r="D107" s="3" t="str">
        <f t="array" ref="D107">INDEX('final-RA-to-framework-summary'!$C$4:$Z$26, MOD(ROW(A106)-1, 23)+1, INT((ROW(A106)-1)/23)+1)</f>
        <v>explicit</v>
      </c>
      <c r="E107" s="9" t="s">
        <v>210</v>
      </c>
      <c r="F107" s="10" t="s">
        <v>211</v>
      </c>
      <c r="G107" s="8"/>
      <c r="H107" s="8"/>
      <c r="I107" s="8"/>
      <c r="J107" s="8"/>
      <c r="K107" s="8"/>
      <c r="L107" s="8"/>
      <c r="M107" s="8"/>
      <c r="N107" s="8"/>
      <c r="O107" s="8"/>
      <c r="P107" s="8"/>
      <c r="Q107" s="8"/>
      <c r="R107" s="8"/>
      <c r="S107" s="8"/>
      <c r="T107" s="8"/>
      <c r="U107" s="8"/>
      <c r="V107" s="8"/>
      <c r="W107" s="8"/>
      <c r="X107" s="8"/>
      <c r="Y107" s="8"/>
      <c r="Z107" s="8"/>
    </row>
    <row r="108">
      <c r="A108" s="3" t="str">
        <f t="array" ref="A108">INDEX('final-RA-to-framework-summary'!$C$1:$T$1, 1, INT((ROW(A107)-1)/23)+1)</f>
        <v>F5</v>
      </c>
      <c r="B108" s="3" t="str">
        <f t="array" ref="B108">INDEX('final-RA-to-framework-summary'!$C$2:$T$2, 1, INT((ROW(B107)-1)/23)+1)</f>
        <v>Isaac Lab</v>
      </c>
      <c r="C108" s="3" t="str">
        <f t="array" ref="C108">INDEX('final-RA-to-framework-summary'!$B$4:$B$26, MOD(ROW(A107)-1, 23)+1)</f>
        <v>Environment Core</v>
      </c>
      <c r="D108" s="3" t="str">
        <f t="array" ref="D108">INDEX('final-RA-to-framework-summary'!$C$4:$Z$26, MOD(ROW(A107)-1, 23)+1, INT((ROW(A107)-1)/23)+1)</f>
        <v>explicit</v>
      </c>
      <c r="E108" s="9" t="s">
        <v>212</v>
      </c>
      <c r="F108" s="10" t="s">
        <v>213</v>
      </c>
      <c r="G108" s="8"/>
      <c r="H108" s="8"/>
      <c r="I108" s="8"/>
      <c r="J108" s="8"/>
      <c r="K108" s="8"/>
      <c r="L108" s="8"/>
      <c r="M108" s="8"/>
      <c r="N108" s="8"/>
      <c r="O108" s="8"/>
      <c r="P108" s="8"/>
      <c r="Q108" s="8"/>
      <c r="R108" s="8"/>
      <c r="S108" s="8"/>
      <c r="T108" s="8"/>
      <c r="U108" s="8"/>
      <c r="V108" s="8"/>
      <c r="W108" s="8"/>
      <c r="X108" s="8"/>
      <c r="Y108" s="8"/>
      <c r="Z108" s="8"/>
    </row>
    <row r="109">
      <c r="A109" s="3" t="str">
        <f t="array" ref="A109">INDEX('final-RA-to-framework-summary'!$C$1:$T$1, 1, INT((ROW(A108)-1)/23)+1)</f>
        <v>F5</v>
      </c>
      <c r="B109" s="3" t="str">
        <f t="array" ref="B109">INDEX('final-RA-to-framework-summary'!$C$2:$T$2, 1, INT((ROW(B108)-1)/23)+1)</f>
        <v>Isaac Lab</v>
      </c>
      <c r="C109" s="3" t="str">
        <f t="array" ref="C109">INDEX('final-RA-to-framework-summary'!$B$4:$B$26, MOD(ROW(A108)-1, 23)+1)</f>
        <v>Simulator</v>
      </c>
      <c r="D109" s="3" t="str">
        <f t="array" ref="D109">INDEX('final-RA-to-framework-summary'!$C$4:$Z$26, MOD(ROW(A108)-1, 23)+1, INT((ROW(A108)-1)/23)+1)</f>
        <v>external</v>
      </c>
      <c r="E109" s="9" t="s">
        <v>214</v>
      </c>
      <c r="F109" s="10" t="s">
        <v>215</v>
      </c>
      <c r="G109" s="10" t="s">
        <v>216</v>
      </c>
      <c r="H109" s="10" t="s">
        <v>215</v>
      </c>
      <c r="I109" s="8"/>
      <c r="J109" s="8"/>
      <c r="K109" s="8"/>
      <c r="L109" s="8"/>
      <c r="M109" s="8"/>
      <c r="N109" s="8"/>
      <c r="O109" s="8"/>
      <c r="P109" s="8"/>
      <c r="Q109" s="8"/>
      <c r="R109" s="8"/>
      <c r="S109" s="8"/>
      <c r="T109" s="8"/>
      <c r="U109" s="8"/>
      <c r="V109" s="8"/>
      <c r="W109" s="8"/>
      <c r="X109" s="8"/>
      <c r="Y109" s="8"/>
      <c r="Z109" s="8"/>
    </row>
    <row r="110">
      <c r="A110" s="3" t="str">
        <f t="array" ref="A110">INDEX('final-RA-to-framework-summary'!$C$1:$T$1, 1, INT((ROW(A109)-1)/23)+1)</f>
        <v>F5</v>
      </c>
      <c r="B110" s="3" t="str">
        <f t="array" ref="B110">INDEX('final-RA-to-framework-summary'!$C$2:$T$2, 1, INT((ROW(B109)-1)/23)+1)</f>
        <v>Isaac Lab</v>
      </c>
      <c r="C110" s="3" t="str">
        <f t="array" ref="C110">INDEX('final-RA-to-framework-summary'!$B$4:$B$26, MOD(ROW(A109)-1, 23)+1)</f>
        <v>Simulator Adapter</v>
      </c>
      <c r="D110" s="3" t="str">
        <f t="array" ref="D110">INDEX('final-RA-to-framework-summary'!$C$4:$Z$26, MOD(ROW(A109)-1, 23)+1, INT((ROW(A109)-1)/23)+1)</f>
        <v>explicit</v>
      </c>
      <c r="E110" s="9" t="s">
        <v>217</v>
      </c>
      <c r="F110" s="10" t="s">
        <v>218</v>
      </c>
      <c r="G110" s="10" t="s">
        <v>219</v>
      </c>
      <c r="H110" s="8"/>
      <c r="I110" s="8"/>
      <c r="J110" s="8"/>
      <c r="K110" s="8"/>
      <c r="L110" s="8"/>
      <c r="M110" s="8"/>
      <c r="N110" s="8"/>
      <c r="O110" s="8"/>
      <c r="P110" s="8"/>
      <c r="Q110" s="8"/>
      <c r="R110" s="8"/>
      <c r="S110" s="8"/>
      <c r="T110" s="8"/>
      <c r="U110" s="8"/>
      <c r="V110" s="8"/>
      <c r="W110" s="8"/>
      <c r="X110" s="8"/>
      <c r="Y110" s="8"/>
      <c r="Z110" s="8"/>
    </row>
    <row r="111">
      <c r="A111" s="3" t="str">
        <f t="array" ref="A111">INDEX('final-RA-to-framework-summary'!$C$1:$T$1, 1, INT((ROW(A110)-1)/23)+1)</f>
        <v>F5</v>
      </c>
      <c r="B111" s="3" t="str">
        <f t="array" ref="B111">INDEX('final-RA-to-framework-summary'!$C$2:$T$2, 1, INT((ROW(B110)-1)/23)+1)</f>
        <v>Isaac Lab</v>
      </c>
      <c r="C111" s="3" t="str">
        <f t="array" ref="C111">INDEX('final-RA-to-framework-summary'!$B$4:$B$26, MOD(ROW(A110)-1, 23)+1)</f>
        <v>Checkpoint Manager</v>
      </c>
      <c r="D111" s="3" t="str">
        <f t="array" ref="D111">INDEX('final-RA-to-framework-summary'!$C$4:$Z$26, MOD(ROW(A110)-1, 23)+1, INT((ROW(A110)-1)/23)+1)</f>
        <v>not implemented</v>
      </c>
      <c r="E111" s="8"/>
      <c r="F111" s="8"/>
      <c r="G111" s="8"/>
      <c r="H111" s="8"/>
      <c r="I111" s="8"/>
      <c r="J111" s="8"/>
      <c r="K111" s="8"/>
      <c r="L111" s="8"/>
      <c r="M111" s="8"/>
      <c r="N111" s="8"/>
      <c r="O111" s="8"/>
      <c r="P111" s="8"/>
      <c r="Q111" s="8"/>
      <c r="R111" s="8"/>
      <c r="S111" s="8"/>
      <c r="T111" s="8"/>
      <c r="U111" s="8"/>
      <c r="V111" s="8"/>
      <c r="W111" s="8"/>
      <c r="X111" s="8"/>
      <c r="Y111" s="8"/>
      <c r="Z111" s="8"/>
    </row>
    <row r="112">
      <c r="A112" s="3" t="str">
        <f t="array" ref="A112">INDEX('final-RA-to-framework-summary'!$C$1:$T$1, 1, INT((ROW(A111)-1)/23)+1)</f>
        <v>F5</v>
      </c>
      <c r="B112" s="3" t="str">
        <f t="array" ref="B112">INDEX('final-RA-to-framework-summary'!$C$2:$T$2, 1, INT((ROW(B111)-1)/23)+1)</f>
        <v>Isaac Lab</v>
      </c>
      <c r="C112" s="3" t="str">
        <f t="array" ref="C112">INDEX('final-RA-to-framework-summary'!$B$4:$B$26, MOD(ROW(A111)-1, 23)+1)</f>
        <v>Environment Parameter 
Manager</v>
      </c>
      <c r="D112" s="3" t="str">
        <f t="array" ref="D112">INDEX('final-RA-to-framework-summary'!$C$4:$Z$26, MOD(ROW(A111)-1, 23)+1, INT((ROW(A111)-1)/23)+1)</f>
        <v>implicit</v>
      </c>
      <c r="E112" s="9" t="s">
        <v>220</v>
      </c>
      <c r="F112" s="10" t="s">
        <v>221</v>
      </c>
      <c r="G112" s="10" t="s">
        <v>222</v>
      </c>
      <c r="H112" s="8"/>
      <c r="I112" s="8"/>
      <c r="J112" s="8"/>
      <c r="K112" s="8"/>
      <c r="L112" s="8"/>
      <c r="M112" s="8"/>
      <c r="N112" s="8"/>
      <c r="O112" s="8"/>
      <c r="P112" s="8"/>
      <c r="Q112" s="8"/>
      <c r="R112" s="8"/>
      <c r="S112" s="8"/>
      <c r="T112" s="8"/>
      <c r="U112" s="8"/>
      <c r="V112" s="8"/>
      <c r="W112" s="8"/>
      <c r="X112" s="8"/>
      <c r="Y112" s="8"/>
      <c r="Z112" s="8"/>
    </row>
    <row r="113">
      <c r="A113" s="3" t="str">
        <f t="array" ref="A113">INDEX('final-RA-to-framework-summary'!$C$1:$T$1, 1, INT((ROW(A112)-1)/23)+1)</f>
        <v>F5</v>
      </c>
      <c r="B113" s="3" t="str">
        <f t="array" ref="B113">INDEX('final-RA-to-framework-summary'!$C$2:$T$2, 1, INT((ROW(B112)-1)/23)+1)</f>
        <v>Isaac Lab</v>
      </c>
      <c r="C113" s="3" t="str">
        <f t="array" ref="C113">INDEX('final-RA-to-framework-summary'!$B$4:$B$26, MOD(ROW(A112)-1, 23)+1)</f>
        <v>Renderer</v>
      </c>
      <c r="D113" s="3" t="str">
        <f t="array" ref="D113">INDEX('final-RA-to-framework-summary'!$C$4:$Z$26, MOD(ROW(A112)-1, 23)+1, INT((ROW(A112)-1)/23)+1)</f>
        <v>explicit</v>
      </c>
      <c r="E113" s="9" t="s">
        <v>223</v>
      </c>
      <c r="F113" s="10" t="s">
        <v>224</v>
      </c>
      <c r="G113" s="8"/>
      <c r="H113" s="8"/>
      <c r="I113" s="8"/>
      <c r="J113" s="8"/>
      <c r="K113" s="8"/>
      <c r="L113" s="8"/>
      <c r="M113" s="8"/>
      <c r="N113" s="8"/>
      <c r="O113" s="8"/>
      <c r="P113" s="8"/>
      <c r="Q113" s="8"/>
      <c r="R113" s="8"/>
      <c r="S113" s="8"/>
      <c r="T113" s="8"/>
      <c r="U113" s="8"/>
      <c r="V113" s="8"/>
      <c r="W113" s="8"/>
      <c r="X113" s="8"/>
      <c r="Y113" s="8"/>
      <c r="Z113" s="8"/>
    </row>
    <row r="114">
      <c r="A114" s="3" t="str">
        <f t="array" ref="A114">INDEX('final-RA-to-framework-summary'!$C$1:$T$1, 1, INT((ROW(A113)-1)/23)+1)</f>
        <v>F5</v>
      </c>
      <c r="B114" s="3" t="str">
        <f t="array" ref="B114">INDEX('final-RA-to-framework-summary'!$C$2:$T$2, 1, INT((ROW(B113)-1)/23)+1)</f>
        <v>Isaac Lab</v>
      </c>
      <c r="C114" s="3" t="str">
        <f t="array" ref="C114">INDEX('final-RA-to-framework-summary'!$B$4:$B$26, MOD(ROW(A113)-1, 23)+1)</f>
        <v>Recorder</v>
      </c>
      <c r="D114" s="3" t="str">
        <f t="array" ref="D114">INDEX('final-RA-to-framework-summary'!$C$4:$Z$26, MOD(ROW(A113)-1, 23)+1, INT((ROW(A113)-1)/23)+1)</f>
        <v>explicit</v>
      </c>
      <c r="E114" s="9" t="s">
        <v>225</v>
      </c>
      <c r="F114" s="10" t="s">
        <v>226</v>
      </c>
      <c r="G114" s="8"/>
      <c r="H114" s="8"/>
      <c r="I114" s="8"/>
      <c r="J114" s="8"/>
      <c r="K114" s="8"/>
      <c r="L114" s="8"/>
      <c r="M114" s="8"/>
      <c r="N114" s="8"/>
      <c r="O114" s="8"/>
      <c r="P114" s="8"/>
      <c r="Q114" s="8"/>
      <c r="R114" s="8"/>
      <c r="S114" s="8"/>
      <c r="T114" s="8"/>
      <c r="U114" s="8"/>
      <c r="V114" s="8"/>
      <c r="W114" s="8"/>
      <c r="X114" s="8"/>
      <c r="Y114" s="8"/>
      <c r="Z114" s="8"/>
    </row>
    <row r="115">
      <c r="A115" s="3" t="str">
        <f t="array" ref="A115">INDEX('final-RA-to-framework-summary'!$C$1:$T$1, 1, INT((ROW(A114)-1)/23)+1)</f>
        <v>F5</v>
      </c>
      <c r="B115" s="3" t="str">
        <f t="array" ref="B115">INDEX('final-RA-to-framework-summary'!$C$2:$T$2, 1, INT((ROW(B114)-1)/23)+1)</f>
        <v>Isaac Lab</v>
      </c>
      <c r="C115" s="3" t="str">
        <f t="array" ref="C115">INDEX('final-RA-to-framework-summary'!$B$4:$B$26, MOD(ROW(A114)-1, 23)+1)</f>
        <v>Logger</v>
      </c>
      <c r="D115" s="3" t="str">
        <f t="array" ref="D115">INDEX('final-RA-to-framework-summary'!$C$4:$Z$26, MOD(ROW(A114)-1, 23)+1, INT((ROW(A114)-1)/23)+1)</f>
        <v>explicit</v>
      </c>
      <c r="E115" s="9" t="s">
        <v>227</v>
      </c>
      <c r="F115" s="10" t="s">
        <v>228</v>
      </c>
      <c r="G115" s="8"/>
      <c r="H115" s="8"/>
      <c r="I115" s="8"/>
      <c r="J115" s="8"/>
      <c r="K115" s="8"/>
      <c r="L115" s="8"/>
      <c r="M115" s="8"/>
      <c r="N115" s="8"/>
      <c r="O115" s="8"/>
      <c r="P115" s="8"/>
      <c r="Q115" s="8"/>
      <c r="R115" s="8"/>
      <c r="S115" s="8"/>
      <c r="T115" s="8"/>
      <c r="U115" s="8"/>
      <c r="V115" s="8"/>
      <c r="W115" s="8"/>
      <c r="X115" s="8"/>
      <c r="Y115" s="8"/>
      <c r="Z115" s="8"/>
    </row>
    <row r="116">
      <c r="A116" s="3" t="str">
        <f t="array" ref="A116">INDEX('final-RA-to-framework-summary'!$C$1:$T$1, 1, INT((ROW(A115)-1)/23)+1)</f>
        <v>F5</v>
      </c>
      <c r="B116" s="3" t="str">
        <f t="array" ref="B116">INDEX('final-RA-to-framework-summary'!$C$2:$T$2, 1, INT((ROW(B115)-1)/23)+1)</f>
        <v>Isaac Lab</v>
      </c>
      <c r="C116" s="3" t="str">
        <f t="array" ref="C116">INDEX('final-RA-to-framework-summary'!$B$4:$B$26, MOD(ROW(A115)-1, 23)+1)</f>
        <v>Reporter</v>
      </c>
      <c r="D116" s="3" t="str">
        <f t="array" ref="D116">INDEX('final-RA-to-framework-summary'!$C$4:$Z$26, MOD(ROW(A115)-1, 23)+1, INT((ROW(A115)-1)/23)+1)</f>
        <v>not implemented</v>
      </c>
      <c r="E116" s="8"/>
      <c r="F116" s="8"/>
      <c r="G116" s="8"/>
      <c r="H116" s="8"/>
      <c r="I116" s="8"/>
      <c r="J116" s="8"/>
      <c r="K116" s="8"/>
      <c r="L116" s="8"/>
      <c r="M116" s="8"/>
      <c r="N116" s="8"/>
      <c r="O116" s="8"/>
      <c r="P116" s="8"/>
      <c r="Q116" s="8"/>
      <c r="R116" s="8"/>
      <c r="S116" s="8"/>
      <c r="T116" s="8"/>
      <c r="U116" s="8"/>
      <c r="V116" s="8"/>
      <c r="W116" s="8"/>
      <c r="X116" s="8"/>
      <c r="Y116" s="8"/>
      <c r="Z116" s="8"/>
    </row>
    <row r="117">
      <c r="A117" s="3" t="str">
        <f t="array" ref="A117">INDEX('final-RA-to-framework-summary'!$C$1:$T$1, 1, INT((ROW(A116)-1)/23)+1)</f>
        <v>F6</v>
      </c>
      <c r="B117" s="3" t="str">
        <f t="array" ref="B117">INDEX('final-RA-to-framework-summary'!$C$2:$T$2, 1, INT((ROW(B116)-1)/23)+1)</f>
        <v>dm_control</v>
      </c>
      <c r="C117" s="3" t="str">
        <f t="array" ref="C117">INDEX('final-RA-to-framework-summary'!$B$4:$B$26, MOD(ROW(A116)-1, 23)+1)</f>
        <v>Experiment Orchestrator</v>
      </c>
      <c r="D117" s="3" t="str">
        <f t="array" ref="D117">INDEX('final-RA-to-framework-summary'!$C$4:$Z$26, MOD(ROW(A116)-1, 23)+1, INT((ROW(A116)-1)/23)+1)</f>
        <v>not implemented</v>
      </c>
      <c r="E117" s="8"/>
      <c r="F117" s="8"/>
      <c r="G117" s="8"/>
      <c r="H117" s="8"/>
      <c r="I117" s="8"/>
      <c r="J117" s="8"/>
      <c r="K117" s="8"/>
      <c r="L117" s="8"/>
      <c r="M117" s="8"/>
      <c r="N117" s="8"/>
      <c r="O117" s="8"/>
      <c r="P117" s="8"/>
      <c r="Q117" s="8"/>
      <c r="R117" s="8"/>
      <c r="S117" s="8"/>
      <c r="T117" s="8"/>
      <c r="U117" s="8"/>
      <c r="V117" s="8"/>
      <c r="W117" s="8"/>
      <c r="X117" s="8"/>
      <c r="Y117" s="8"/>
      <c r="Z117" s="8"/>
    </row>
    <row r="118">
      <c r="A118" s="3" t="str">
        <f t="array" ref="A118">INDEX('final-RA-to-framework-summary'!$C$1:$T$1, 1, INT((ROW(A117)-1)/23)+1)</f>
        <v>F6</v>
      </c>
      <c r="B118" s="3" t="str">
        <f t="array" ref="B118">INDEX('final-RA-to-framework-summary'!$C$2:$T$2, 1, INT((ROW(B117)-1)/23)+1)</f>
        <v>dm_control</v>
      </c>
      <c r="C118" s="3" t="str">
        <f t="array" ref="C118">INDEX('final-RA-to-framework-summary'!$B$4:$B$26, MOD(ROW(A117)-1, 23)+1)</f>
        <v>Experiment Manager</v>
      </c>
      <c r="D118" s="3" t="str">
        <f t="array" ref="D118">INDEX('final-RA-to-framework-summary'!$C$4:$Z$26, MOD(ROW(A117)-1, 23)+1, INT((ROW(A117)-1)/23)+1)</f>
        <v>not implemented</v>
      </c>
      <c r="E118" s="8"/>
      <c r="F118" s="8"/>
      <c r="G118" s="8"/>
      <c r="H118" s="8"/>
      <c r="I118" s="8"/>
      <c r="J118" s="8"/>
      <c r="K118" s="8"/>
      <c r="L118" s="8"/>
      <c r="M118" s="8"/>
      <c r="N118" s="8"/>
      <c r="O118" s="8"/>
      <c r="P118" s="8"/>
      <c r="Q118" s="8"/>
      <c r="R118" s="8"/>
      <c r="S118" s="8"/>
      <c r="T118" s="8"/>
      <c r="U118" s="8"/>
      <c r="V118" s="8"/>
      <c r="W118" s="8"/>
      <c r="X118" s="8"/>
      <c r="Y118" s="8"/>
      <c r="Z118" s="8"/>
    </row>
    <row r="119">
      <c r="A119" s="3" t="str">
        <f t="array" ref="A119">INDEX('final-RA-to-framework-summary'!$C$1:$T$1, 1, INT((ROW(A118)-1)/23)+1)</f>
        <v>F6</v>
      </c>
      <c r="B119" s="3" t="str">
        <f t="array" ref="B119">INDEX('final-RA-to-framework-summary'!$C$2:$T$2, 1, INT((ROW(B118)-1)/23)+1)</f>
        <v>dm_control</v>
      </c>
      <c r="C119" s="3" t="str">
        <f t="array" ref="C119">INDEX('final-RA-to-framework-summary'!$B$4:$B$26, MOD(ROW(A118)-1, 23)+1)</f>
        <v>Hyperparameter Tuner</v>
      </c>
      <c r="D119" s="3" t="str">
        <f t="array" ref="D119">INDEX('final-RA-to-framework-summary'!$C$4:$Z$26, MOD(ROW(A118)-1, 23)+1, INT((ROW(A118)-1)/23)+1)</f>
        <v>not implemented</v>
      </c>
      <c r="E119" s="8"/>
      <c r="F119" s="8"/>
      <c r="G119" s="8"/>
      <c r="H119" s="8"/>
      <c r="I119" s="8"/>
      <c r="J119" s="8"/>
      <c r="K119" s="8"/>
      <c r="L119" s="8"/>
      <c r="M119" s="8"/>
      <c r="N119" s="8"/>
      <c r="O119" s="8"/>
      <c r="P119" s="8"/>
      <c r="Q119" s="8"/>
      <c r="R119" s="8"/>
      <c r="S119" s="8"/>
      <c r="T119" s="8"/>
      <c r="U119" s="8"/>
      <c r="V119" s="8"/>
      <c r="W119" s="8"/>
      <c r="X119" s="8"/>
      <c r="Y119" s="8"/>
      <c r="Z119" s="8"/>
    </row>
    <row r="120">
      <c r="A120" s="3" t="str">
        <f t="array" ref="A120">INDEX('final-RA-to-framework-summary'!$C$1:$T$1, 1, INT((ROW(A119)-1)/23)+1)</f>
        <v>F6</v>
      </c>
      <c r="B120" s="3" t="str">
        <f t="array" ref="B120">INDEX('final-RA-to-framework-summary'!$C$2:$T$2, 1, INT((ROW(B119)-1)/23)+1)</f>
        <v>dm_control</v>
      </c>
      <c r="C120" s="3" t="str">
        <f t="array" ref="C120">INDEX('final-RA-to-framework-summary'!$B$4:$B$26, MOD(ROW(A119)-1, 23)+1)</f>
        <v>Benchmark Manager</v>
      </c>
      <c r="D120" s="3" t="str">
        <f t="array" ref="D120">INDEX('final-RA-to-framework-summary'!$C$4:$Z$26, MOD(ROW(A119)-1, 23)+1, INT((ROW(A119)-1)/23)+1)</f>
        <v>not implemented</v>
      </c>
      <c r="E120" s="8"/>
      <c r="F120" s="8"/>
      <c r="G120" s="8"/>
      <c r="H120" s="8"/>
      <c r="I120" s="8"/>
      <c r="J120" s="8"/>
      <c r="K120" s="8"/>
      <c r="L120" s="8"/>
      <c r="M120" s="8"/>
      <c r="N120" s="8"/>
      <c r="O120" s="8"/>
      <c r="P120" s="8"/>
      <c r="Q120" s="8"/>
      <c r="R120" s="8"/>
      <c r="S120" s="8"/>
      <c r="T120" s="8"/>
      <c r="U120" s="8"/>
      <c r="V120" s="8"/>
      <c r="W120" s="8"/>
      <c r="X120" s="8"/>
      <c r="Y120" s="8"/>
      <c r="Z120" s="8"/>
    </row>
    <row r="121">
      <c r="A121" s="3" t="str">
        <f t="array" ref="A121">INDEX('final-RA-to-framework-summary'!$C$1:$T$1, 1, INT((ROW(A120)-1)/23)+1)</f>
        <v>F6</v>
      </c>
      <c r="B121" s="3" t="str">
        <f t="array" ref="B121">INDEX('final-RA-to-framework-summary'!$C$2:$T$2, 1, INT((ROW(B120)-1)/23)+1)</f>
        <v>dm_control</v>
      </c>
      <c r="C121" s="3" t="str">
        <f t="array" ref="C121">INDEX('final-RA-to-framework-summary'!$B$4:$B$26, MOD(ROW(A120)-1, 23)+1)</f>
        <v>Framework Orchestrator</v>
      </c>
      <c r="D121" s="3" t="str">
        <f t="array" ref="D121">INDEX('final-RA-to-framework-summary'!$C$4:$Z$26, MOD(ROW(A120)-1, 23)+1, INT((ROW(A120)-1)/23)+1)</f>
        <v>not implemented</v>
      </c>
      <c r="E121" s="8"/>
      <c r="F121" s="8"/>
      <c r="G121" s="8"/>
      <c r="H121" s="8"/>
      <c r="I121" s="8"/>
      <c r="J121" s="8"/>
      <c r="K121" s="8"/>
      <c r="L121" s="8"/>
      <c r="M121" s="8"/>
      <c r="N121" s="8"/>
      <c r="O121" s="8"/>
      <c r="P121" s="8"/>
      <c r="Q121" s="8"/>
      <c r="R121" s="8"/>
      <c r="S121" s="8"/>
      <c r="T121" s="8"/>
      <c r="U121" s="8"/>
      <c r="V121" s="8"/>
      <c r="W121" s="8"/>
      <c r="X121" s="8"/>
      <c r="Y121" s="8"/>
      <c r="Z121" s="8"/>
    </row>
    <row r="122">
      <c r="A122" s="3" t="str">
        <f t="array" ref="A122">INDEX('final-RA-to-framework-summary'!$C$1:$T$1, 1, INT((ROW(A121)-1)/23)+1)</f>
        <v>F6</v>
      </c>
      <c r="B122" s="3" t="str">
        <f t="array" ref="B122">INDEX('final-RA-to-framework-summary'!$C$2:$T$2, 1, INT((ROW(B121)-1)/23)+1)</f>
        <v>dm_control</v>
      </c>
      <c r="C122" s="3" t="str">
        <f t="array" ref="C122">INDEX('final-RA-to-framework-summary'!$B$4:$B$26, MOD(ROW(A121)-1, 23)+1)</f>
        <v>Lifecycle Manager</v>
      </c>
      <c r="D122" s="3" t="str">
        <f t="array" ref="D122">INDEX('final-RA-to-framework-summary'!$C$4:$Z$26, MOD(ROW(A121)-1, 23)+1, INT((ROW(A121)-1)/23)+1)</f>
        <v>not implemented</v>
      </c>
      <c r="E122" s="8"/>
      <c r="F122" s="8"/>
      <c r="G122" s="8"/>
      <c r="H122" s="8"/>
      <c r="I122" s="8"/>
      <c r="J122" s="8"/>
      <c r="K122" s="8"/>
      <c r="L122" s="8"/>
      <c r="M122" s="8"/>
      <c r="N122" s="8"/>
      <c r="O122" s="8"/>
      <c r="P122" s="8"/>
      <c r="Q122" s="8"/>
      <c r="R122" s="8"/>
      <c r="S122" s="8"/>
      <c r="T122" s="8"/>
      <c r="U122" s="8"/>
      <c r="V122" s="8"/>
      <c r="W122" s="8"/>
      <c r="X122" s="8"/>
      <c r="Y122" s="8"/>
      <c r="Z122" s="8"/>
    </row>
    <row r="123">
      <c r="A123" s="3" t="str">
        <f t="array" ref="A123">INDEX('final-RA-to-framework-summary'!$C$1:$T$1, 1, INT((ROW(A122)-1)/23)+1)</f>
        <v>F6</v>
      </c>
      <c r="B123" s="3" t="str">
        <f t="array" ref="B123">INDEX('final-RA-to-framework-summary'!$C$2:$T$2, 1, INT((ROW(B122)-1)/23)+1)</f>
        <v>dm_control</v>
      </c>
      <c r="C123" s="3" t="str">
        <f t="array" ref="C123">INDEX('final-RA-to-framework-summary'!$B$4:$B$26, MOD(ROW(A122)-1, 23)+1)</f>
        <v>Configuration Manager</v>
      </c>
      <c r="D123" s="3" t="str">
        <f t="array" ref="D123">INDEX('final-RA-to-framework-summary'!$C$4:$Z$26, MOD(ROW(A122)-1, 23)+1, INT((ROW(A122)-1)/23)+1)</f>
        <v>not implemented</v>
      </c>
      <c r="E123" s="8"/>
      <c r="F123" s="8"/>
      <c r="G123" s="8"/>
      <c r="H123" s="8"/>
      <c r="I123" s="8"/>
      <c r="J123" s="8"/>
      <c r="K123" s="8"/>
      <c r="L123" s="8"/>
      <c r="M123" s="8"/>
      <c r="N123" s="8"/>
      <c r="O123" s="8"/>
      <c r="P123" s="8"/>
      <c r="Q123" s="8"/>
      <c r="R123" s="8"/>
      <c r="S123" s="8"/>
      <c r="T123" s="8"/>
      <c r="U123" s="8"/>
      <c r="V123" s="8"/>
      <c r="W123" s="8"/>
      <c r="X123" s="8"/>
      <c r="Y123" s="8"/>
      <c r="Z123" s="8"/>
    </row>
    <row r="124">
      <c r="A124" s="3" t="str">
        <f t="array" ref="A124">INDEX('final-RA-to-framework-summary'!$C$1:$T$1, 1, INT((ROW(A123)-1)/23)+1)</f>
        <v>F6</v>
      </c>
      <c r="B124" s="3" t="str">
        <f t="array" ref="B124">INDEX('final-RA-to-framework-summary'!$C$2:$T$2, 1, INT((ROW(B123)-1)/23)+1)</f>
        <v>dm_control</v>
      </c>
      <c r="C124" s="3" t="str">
        <f t="array" ref="C124">INDEX('final-RA-to-framework-summary'!$B$4:$B$26, MOD(ROW(A123)-1, 23)+1)</f>
        <v>Multi-Agent Coordinator</v>
      </c>
      <c r="D124" s="3" t="str">
        <f t="array" ref="D124">INDEX('final-RA-to-framework-summary'!$C$4:$Z$26, MOD(ROW(A123)-1, 23)+1, INT((ROW(A123)-1)/23)+1)</f>
        <v>not implemented</v>
      </c>
      <c r="E124" s="8"/>
      <c r="F124" s="8"/>
      <c r="G124" s="8"/>
      <c r="H124" s="8"/>
      <c r="I124" s="8"/>
      <c r="J124" s="8"/>
      <c r="K124" s="8"/>
      <c r="L124" s="8"/>
      <c r="M124" s="8"/>
      <c r="N124" s="8"/>
      <c r="O124" s="8"/>
      <c r="P124" s="8"/>
      <c r="Q124" s="8"/>
      <c r="R124" s="8"/>
      <c r="S124" s="8"/>
      <c r="T124" s="8"/>
      <c r="U124" s="8"/>
      <c r="V124" s="8"/>
      <c r="W124" s="8"/>
      <c r="X124" s="8"/>
      <c r="Y124" s="8"/>
      <c r="Z124" s="8"/>
    </row>
    <row r="125">
      <c r="A125" s="3" t="str">
        <f t="array" ref="A125">INDEX('final-RA-to-framework-summary'!$C$1:$T$1, 1, INT((ROW(A124)-1)/23)+1)</f>
        <v>F6</v>
      </c>
      <c r="B125" s="3" t="str">
        <f t="array" ref="B125">INDEX('final-RA-to-framework-summary'!$C$2:$T$2, 1, INT((ROW(B124)-1)/23)+1)</f>
        <v>dm_control</v>
      </c>
      <c r="C125" s="3" t="str">
        <f t="array" ref="C125">INDEX('final-RA-to-framework-summary'!$B$4:$B$26, MOD(ROW(A124)-1, 23)+1)</f>
        <v>Distributed Execution 
Coordinator</v>
      </c>
      <c r="D125" s="3" t="str">
        <f t="array" ref="D125">INDEX('final-RA-to-framework-summary'!$C$4:$Z$26, MOD(ROW(A124)-1, 23)+1, INT((ROW(A124)-1)/23)+1)</f>
        <v>not implemented</v>
      </c>
      <c r="E125" s="8"/>
      <c r="F125" s="8"/>
      <c r="G125" s="8"/>
      <c r="H125" s="8"/>
      <c r="I125" s="8"/>
      <c r="J125" s="8"/>
      <c r="K125" s="8"/>
      <c r="L125" s="8"/>
      <c r="M125" s="8"/>
      <c r="N125" s="8"/>
      <c r="O125" s="8"/>
      <c r="P125" s="8"/>
      <c r="Q125" s="8"/>
      <c r="R125" s="8"/>
      <c r="S125" s="8"/>
      <c r="T125" s="8"/>
      <c r="U125" s="8"/>
      <c r="V125" s="8"/>
      <c r="W125" s="8"/>
      <c r="X125" s="8"/>
      <c r="Y125" s="8"/>
      <c r="Z125" s="8"/>
    </row>
    <row r="126">
      <c r="A126" s="3" t="str">
        <f t="array" ref="A126">INDEX('final-RA-to-framework-summary'!$C$1:$T$1, 1, INT((ROW(A125)-1)/23)+1)</f>
        <v>F6</v>
      </c>
      <c r="B126" s="3" t="str">
        <f t="array" ref="B126">INDEX('final-RA-to-framework-summary'!$C$2:$T$2, 1, INT((ROW(B125)-1)/23)+1)</f>
        <v>dm_control</v>
      </c>
      <c r="C126" s="3" t="str">
        <f t="array" ref="C126">INDEX('final-RA-to-framework-summary'!$B$4:$B$26, MOD(ROW(A125)-1, 23)+1)</f>
        <v>Agent</v>
      </c>
      <c r="D126" s="3" t="str">
        <f t="array" ref="D126">INDEX('final-RA-to-framework-summary'!$C$4:$Z$26, MOD(ROW(A125)-1, 23)+1, INT((ROW(A125)-1)/23)+1)</f>
        <v>not implemented</v>
      </c>
      <c r="E126" s="8"/>
      <c r="F126" s="8"/>
      <c r="G126" s="8"/>
      <c r="H126" s="8"/>
      <c r="I126" s="8"/>
      <c r="J126" s="8"/>
      <c r="K126" s="8"/>
      <c r="L126" s="8"/>
      <c r="M126" s="8"/>
      <c r="N126" s="8"/>
      <c r="O126" s="8"/>
      <c r="P126" s="8"/>
      <c r="Q126" s="8"/>
      <c r="R126" s="8"/>
      <c r="S126" s="8"/>
      <c r="T126" s="8"/>
      <c r="U126" s="8"/>
      <c r="V126" s="8"/>
      <c r="W126" s="8"/>
      <c r="X126" s="8"/>
      <c r="Y126" s="8"/>
      <c r="Z126" s="8"/>
    </row>
    <row r="127">
      <c r="A127" s="3" t="str">
        <f t="array" ref="A127">INDEX('final-RA-to-framework-summary'!$C$1:$T$1, 1, INT((ROW(A126)-1)/23)+1)</f>
        <v>F6</v>
      </c>
      <c r="B127" s="3" t="str">
        <f t="array" ref="B127">INDEX('final-RA-to-framework-summary'!$C$2:$T$2, 1, INT((ROW(B126)-1)/23)+1)</f>
        <v>dm_control</v>
      </c>
      <c r="C127" s="3" t="str">
        <f t="array" ref="C127">INDEX('final-RA-to-framework-summary'!$B$4:$B$26, MOD(ROW(A126)-1, 23)+1)</f>
        <v>Function Approximator</v>
      </c>
      <c r="D127" s="3" t="str">
        <f t="array" ref="D127">INDEX('final-RA-to-framework-summary'!$C$4:$Z$26, MOD(ROW(A126)-1, 23)+1, INT((ROW(A126)-1)/23)+1)</f>
        <v>not implemented</v>
      </c>
      <c r="E127" s="8"/>
      <c r="F127" s="8"/>
      <c r="G127" s="8"/>
      <c r="H127" s="8"/>
      <c r="I127" s="8"/>
      <c r="J127" s="8"/>
      <c r="K127" s="8"/>
      <c r="L127" s="8"/>
      <c r="M127" s="8"/>
      <c r="N127" s="8"/>
      <c r="O127" s="8"/>
      <c r="P127" s="8"/>
      <c r="Q127" s="8"/>
      <c r="R127" s="8"/>
      <c r="S127" s="8"/>
      <c r="T127" s="8"/>
      <c r="U127" s="8"/>
      <c r="V127" s="8"/>
      <c r="W127" s="8"/>
      <c r="X127" s="8"/>
      <c r="Y127" s="8"/>
      <c r="Z127" s="8"/>
    </row>
    <row r="128">
      <c r="A128" s="3" t="str">
        <f t="array" ref="A128">INDEX('final-RA-to-framework-summary'!$C$1:$T$1, 1, INT((ROW(A127)-1)/23)+1)</f>
        <v>F6</v>
      </c>
      <c r="B128" s="3" t="str">
        <f t="array" ref="B128">INDEX('final-RA-to-framework-summary'!$C$2:$T$2, 1, INT((ROW(B127)-1)/23)+1)</f>
        <v>dm_control</v>
      </c>
      <c r="C128" s="3" t="str">
        <f t="array" ref="C128">INDEX('final-RA-to-framework-summary'!$B$4:$B$26, MOD(ROW(A127)-1, 23)+1)</f>
        <v>Buffer</v>
      </c>
      <c r="D128" s="3" t="str">
        <f t="array" ref="D128">INDEX('final-RA-to-framework-summary'!$C$4:$Z$26, MOD(ROW(A127)-1, 23)+1, INT((ROW(A127)-1)/23)+1)</f>
        <v>not implemented</v>
      </c>
      <c r="E128" s="8"/>
      <c r="F128" s="8"/>
      <c r="G128" s="8"/>
      <c r="H128" s="8"/>
      <c r="I128" s="8"/>
      <c r="J128" s="8"/>
      <c r="K128" s="8"/>
      <c r="L128" s="8"/>
      <c r="M128" s="8"/>
      <c r="N128" s="8"/>
      <c r="O128" s="8"/>
      <c r="P128" s="8"/>
      <c r="Q128" s="8"/>
      <c r="R128" s="8"/>
      <c r="S128" s="8"/>
      <c r="T128" s="8"/>
      <c r="U128" s="8"/>
      <c r="V128" s="8"/>
      <c r="W128" s="8"/>
      <c r="X128" s="8"/>
      <c r="Y128" s="8"/>
      <c r="Z128" s="8"/>
    </row>
    <row r="129">
      <c r="A129" s="3" t="str">
        <f t="array" ref="A129">INDEX('final-RA-to-framework-summary'!$C$1:$T$1, 1, INT((ROW(A128)-1)/23)+1)</f>
        <v>F6</v>
      </c>
      <c r="B129" s="3" t="str">
        <f t="array" ref="B129">INDEX('final-RA-to-framework-summary'!$C$2:$T$2, 1, INT((ROW(B128)-1)/23)+1)</f>
        <v>dm_control</v>
      </c>
      <c r="C129" s="3" t="str">
        <f t="array" ref="C129">INDEX('final-RA-to-framework-summary'!$B$4:$B$26, MOD(ROW(A128)-1, 23)+1)</f>
        <v>Learner</v>
      </c>
      <c r="D129" s="3" t="str">
        <f t="array" ref="D129">INDEX('final-RA-to-framework-summary'!$C$4:$Z$26, MOD(ROW(A128)-1, 23)+1, INT((ROW(A128)-1)/23)+1)</f>
        <v>not implemented</v>
      </c>
      <c r="E129" s="8"/>
      <c r="F129" s="8"/>
      <c r="G129" s="8"/>
      <c r="H129" s="8"/>
      <c r="I129" s="8"/>
      <c r="J129" s="8"/>
      <c r="K129" s="8"/>
      <c r="L129" s="8"/>
      <c r="M129" s="8"/>
      <c r="N129" s="8"/>
      <c r="O129" s="8"/>
      <c r="P129" s="8"/>
      <c r="Q129" s="8"/>
      <c r="R129" s="8"/>
      <c r="S129" s="8"/>
      <c r="T129" s="8"/>
      <c r="U129" s="8"/>
      <c r="V129" s="8"/>
      <c r="W129" s="8"/>
      <c r="X129" s="8"/>
      <c r="Y129" s="8"/>
      <c r="Z129" s="8"/>
    </row>
    <row r="130">
      <c r="A130" s="3" t="str">
        <f t="array" ref="A130">INDEX('final-RA-to-framework-summary'!$C$1:$T$1, 1, INT((ROW(A129)-1)/23)+1)</f>
        <v>F6</v>
      </c>
      <c r="B130" s="3" t="str">
        <f t="array" ref="B130">INDEX('final-RA-to-framework-summary'!$C$2:$T$2, 1, INT((ROW(B129)-1)/23)+1)</f>
        <v>dm_control</v>
      </c>
      <c r="C130" s="3" t="str">
        <f t="array" ref="C130">INDEX('final-RA-to-framework-summary'!$B$4:$B$26, MOD(ROW(A129)-1, 23)+1)</f>
        <v>Environment</v>
      </c>
      <c r="D130" s="3" t="str">
        <f t="array" ref="D130">INDEX('final-RA-to-framework-summary'!$C$4:$Z$26, MOD(ROW(A129)-1, 23)+1, INT((ROW(A129)-1)/23)+1)</f>
        <v>explicit</v>
      </c>
      <c r="E130" s="9" t="s">
        <v>229</v>
      </c>
      <c r="F130" s="10" t="s">
        <v>230</v>
      </c>
      <c r="G130" s="10" t="s">
        <v>231</v>
      </c>
      <c r="H130" s="8"/>
      <c r="I130" s="8"/>
      <c r="J130" s="8"/>
      <c r="K130" s="8"/>
      <c r="L130" s="8"/>
      <c r="M130" s="8"/>
      <c r="N130" s="8"/>
      <c r="O130" s="8"/>
      <c r="P130" s="8"/>
      <c r="Q130" s="8"/>
      <c r="R130" s="8"/>
      <c r="S130" s="8"/>
      <c r="T130" s="8"/>
      <c r="U130" s="8"/>
      <c r="V130" s="8"/>
      <c r="W130" s="8"/>
      <c r="X130" s="8"/>
      <c r="Y130" s="8"/>
      <c r="Z130" s="8"/>
    </row>
    <row r="131">
      <c r="A131" s="3" t="str">
        <f t="array" ref="A131">INDEX('final-RA-to-framework-summary'!$C$1:$T$1, 1, INT((ROW(A130)-1)/23)+1)</f>
        <v>F6</v>
      </c>
      <c r="B131" s="3" t="str">
        <f t="array" ref="B131">INDEX('final-RA-to-framework-summary'!$C$2:$T$2, 1, INT((ROW(B130)-1)/23)+1)</f>
        <v>dm_control</v>
      </c>
      <c r="C131" s="3" t="str">
        <f t="array" ref="C131">INDEX('final-RA-to-framework-summary'!$B$4:$B$26, MOD(ROW(A130)-1, 23)+1)</f>
        <v>Environment Core</v>
      </c>
      <c r="D131" s="3" t="str">
        <f t="array" ref="D131">INDEX('final-RA-to-framework-summary'!$C$4:$Z$26, MOD(ROW(A130)-1, 23)+1, INT((ROW(A130)-1)/23)+1)</f>
        <v>explicit</v>
      </c>
      <c r="E131" s="9" t="s">
        <v>232</v>
      </c>
      <c r="F131" s="10" t="s">
        <v>233</v>
      </c>
      <c r="G131" s="10" t="s">
        <v>234</v>
      </c>
      <c r="H131" s="8"/>
      <c r="I131" s="8"/>
      <c r="J131" s="8"/>
      <c r="K131" s="8"/>
      <c r="L131" s="8"/>
      <c r="M131" s="8"/>
      <c r="N131" s="8"/>
      <c r="O131" s="8"/>
      <c r="P131" s="8"/>
      <c r="Q131" s="8"/>
      <c r="R131" s="8"/>
      <c r="S131" s="8"/>
      <c r="T131" s="8"/>
      <c r="U131" s="8"/>
      <c r="V131" s="8"/>
      <c r="W131" s="8"/>
      <c r="X131" s="8"/>
      <c r="Y131" s="8"/>
      <c r="Z131" s="8"/>
    </row>
    <row r="132">
      <c r="A132" s="3" t="str">
        <f t="array" ref="A132">INDEX('final-RA-to-framework-summary'!$C$1:$T$1, 1, INT((ROW(A131)-1)/23)+1)</f>
        <v>F6</v>
      </c>
      <c r="B132" s="3" t="str">
        <f t="array" ref="B132">INDEX('final-RA-to-framework-summary'!$C$2:$T$2, 1, INT((ROW(B131)-1)/23)+1)</f>
        <v>dm_control</v>
      </c>
      <c r="C132" s="3" t="str">
        <f t="array" ref="C132">INDEX('final-RA-to-framework-summary'!$B$4:$B$26, MOD(ROW(A131)-1, 23)+1)</f>
        <v>Simulator</v>
      </c>
      <c r="D132" s="3" t="str">
        <f t="array" ref="D132">INDEX('final-RA-to-framework-summary'!$C$4:$Z$26, MOD(ROW(A131)-1, 23)+1, INT((ROW(A131)-1)/23)+1)</f>
        <v>external</v>
      </c>
      <c r="E132" s="9" t="s">
        <v>235</v>
      </c>
      <c r="F132" s="10" t="s">
        <v>236</v>
      </c>
      <c r="G132" s="10" t="s">
        <v>237</v>
      </c>
      <c r="H132" s="10" t="s">
        <v>238</v>
      </c>
      <c r="I132" s="8"/>
      <c r="J132" s="8"/>
      <c r="K132" s="8"/>
      <c r="L132" s="8"/>
      <c r="M132" s="8"/>
      <c r="N132" s="8"/>
      <c r="O132" s="8"/>
      <c r="P132" s="8"/>
      <c r="Q132" s="8"/>
      <c r="R132" s="8"/>
      <c r="S132" s="8"/>
      <c r="T132" s="8"/>
      <c r="U132" s="8"/>
      <c r="V132" s="8"/>
      <c r="W132" s="8"/>
      <c r="X132" s="8"/>
      <c r="Y132" s="8"/>
      <c r="Z132" s="8"/>
    </row>
    <row r="133">
      <c r="A133" s="3" t="str">
        <f t="array" ref="A133">INDEX('final-RA-to-framework-summary'!$C$1:$T$1, 1, INT((ROW(A132)-1)/23)+1)</f>
        <v>F6</v>
      </c>
      <c r="B133" s="3" t="str">
        <f t="array" ref="B133">INDEX('final-RA-to-framework-summary'!$C$2:$T$2, 1, INT((ROW(B132)-1)/23)+1)</f>
        <v>dm_control</v>
      </c>
      <c r="C133" s="3" t="str">
        <f t="array" ref="C133">INDEX('final-RA-to-framework-summary'!$B$4:$B$26, MOD(ROW(A132)-1, 23)+1)</f>
        <v>Simulator Adapter</v>
      </c>
      <c r="D133" s="3" t="str">
        <f t="array" ref="D133">INDEX('final-RA-to-framework-summary'!$C$4:$Z$26, MOD(ROW(A132)-1, 23)+1, INT((ROW(A132)-1)/23)+1)</f>
        <v>implicit</v>
      </c>
      <c r="E133" s="9" t="s">
        <v>239</v>
      </c>
      <c r="F133" s="10" t="s">
        <v>240</v>
      </c>
      <c r="G133" s="10" t="s">
        <v>241</v>
      </c>
      <c r="H133" s="8"/>
      <c r="I133" s="8"/>
      <c r="J133" s="8"/>
      <c r="K133" s="8"/>
      <c r="L133" s="8"/>
      <c r="M133" s="8"/>
      <c r="N133" s="8"/>
      <c r="O133" s="8"/>
      <c r="P133" s="8"/>
      <c r="Q133" s="8"/>
      <c r="R133" s="8"/>
      <c r="S133" s="8"/>
      <c r="T133" s="8"/>
      <c r="U133" s="8"/>
      <c r="V133" s="8"/>
      <c r="W133" s="8"/>
      <c r="X133" s="8"/>
      <c r="Y133" s="8"/>
      <c r="Z133" s="8"/>
    </row>
    <row r="134">
      <c r="A134" s="3" t="str">
        <f t="array" ref="A134">INDEX('final-RA-to-framework-summary'!$C$1:$T$1, 1, INT((ROW(A133)-1)/23)+1)</f>
        <v>F6</v>
      </c>
      <c r="B134" s="3" t="str">
        <f t="array" ref="B134">INDEX('final-RA-to-framework-summary'!$C$2:$T$2, 1, INT((ROW(B133)-1)/23)+1)</f>
        <v>dm_control</v>
      </c>
      <c r="C134" s="3" t="str">
        <f t="array" ref="C134">INDEX('final-RA-to-framework-summary'!$B$4:$B$26, MOD(ROW(A133)-1, 23)+1)</f>
        <v>Checkpoint Manager</v>
      </c>
      <c r="D134" s="3" t="str">
        <f t="array" ref="D134">INDEX('final-RA-to-framework-summary'!$C$4:$Z$26, MOD(ROW(A133)-1, 23)+1, INT((ROW(A133)-1)/23)+1)</f>
        <v>not implemented</v>
      </c>
      <c r="E134" s="8"/>
      <c r="F134" s="8"/>
      <c r="G134" s="8"/>
      <c r="H134" s="8"/>
      <c r="I134" s="8"/>
      <c r="J134" s="8"/>
      <c r="K134" s="8"/>
      <c r="L134" s="8"/>
      <c r="M134" s="8"/>
      <c r="N134" s="8"/>
      <c r="O134" s="8"/>
      <c r="P134" s="8"/>
      <c r="Q134" s="8"/>
      <c r="R134" s="8"/>
      <c r="S134" s="8"/>
      <c r="T134" s="8"/>
      <c r="U134" s="8"/>
      <c r="V134" s="8"/>
      <c r="W134" s="8"/>
      <c r="X134" s="8"/>
      <c r="Y134" s="8"/>
      <c r="Z134" s="8"/>
    </row>
    <row r="135">
      <c r="A135" s="3" t="str">
        <f t="array" ref="A135">INDEX('final-RA-to-framework-summary'!$C$1:$T$1, 1, INT((ROW(A134)-1)/23)+1)</f>
        <v>F6</v>
      </c>
      <c r="B135" s="3" t="str">
        <f t="array" ref="B135">INDEX('final-RA-to-framework-summary'!$C$2:$T$2, 1, INT((ROW(B134)-1)/23)+1)</f>
        <v>dm_control</v>
      </c>
      <c r="C135" s="3" t="str">
        <f t="array" ref="C135">INDEX('final-RA-to-framework-summary'!$B$4:$B$26, MOD(ROW(A134)-1, 23)+1)</f>
        <v>Environment Parameter 
Manager</v>
      </c>
      <c r="D135" s="3" t="str">
        <f t="array" ref="D135">INDEX('final-RA-to-framework-summary'!$C$4:$Z$26, MOD(ROW(A134)-1, 23)+1, INT((ROW(A134)-1)/23)+1)</f>
        <v>not implemented</v>
      </c>
      <c r="E135" s="8"/>
      <c r="F135" s="8"/>
      <c r="G135" s="8"/>
      <c r="H135" s="8"/>
      <c r="I135" s="8"/>
      <c r="J135" s="8"/>
      <c r="K135" s="8"/>
      <c r="L135" s="8"/>
      <c r="M135" s="8"/>
      <c r="N135" s="8"/>
      <c r="O135" s="8"/>
      <c r="P135" s="8"/>
      <c r="Q135" s="8"/>
      <c r="R135" s="8"/>
      <c r="S135" s="8"/>
      <c r="T135" s="8"/>
      <c r="U135" s="8"/>
      <c r="V135" s="8"/>
      <c r="W135" s="8"/>
      <c r="X135" s="8"/>
      <c r="Y135" s="8"/>
      <c r="Z135" s="8"/>
    </row>
    <row r="136">
      <c r="A136" s="3" t="str">
        <f t="array" ref="A136">INDEX('final-RA-to-framework-summary'!$C$1:$T$1, 1, INT((ROW(A135)-1)/23)+1)</f>
        <v>F6</v>
      </c>
      <c r="B136" s="3" t="str">
        <f t="array" ref="B136">INDEX('final-RA-to-framework-summary'!$C$2:$T$2, 1, INT((ROW(B135)-1)/23)+1)</f>
        <v>dm_control</v>
      </c>
      <c r="C136" s="3" t="str">
        <f t="array" ref="C136">INDEX('final-RA-to-framework-summary'!$B$4:$B$26, MOD(ROW(A135)-1, 23)+1)</f>
        <v>Renderer</v>
      </c>
      <c r="D136" s="3" t="str">
        <f t="array" ref="D136">INDEX('final-RA-to-framework-summary'!$C$4:$Z$26, MOD(ROW(A135)-1, 23)+1, INT((ROW(A135)-1)/23)+1)</f>
        <v>explicit</v>
      </c>
      <c r="E136" s="14" t="s">
        <v>242</v>
      </c>
      <c r="F136" s="10" t="s">
        <v>243</v>
      </c>
      <c r="G136" s="10" t="s">
        <v>244</v>
      </c>
      <c r="H136" s="8"/>
      <c r="I136" s="8"/>
      <c r="J136" s="8"/>
      <c r="K136" s="8"/>
      <c r="L136" s="8"/>
      <c r="M136" s="8"/>
      <c r="N136" s="8"/>
      <c r="O136" s="8"/>
      <c r="P136" s="8"/>
      <c r="Q136" s="8"/>
      <c r="R136" s="8"/>
      <c r="S136" s="8"/>
      <c r="T136" s="8"/>
      <c r="U136" s="8"/>
      <c r="V136" s="8"/>
      <c r="W136" s="8"/>
      <c r="X136" s="8"/>
      <c r="Y136" s="8"/>
      <c r="Z136" s="8"/>
    </row>
    <row r="137">
      <c r="A137" s="3" t="str">
        <f t="array" ref="A137">INDEX('final-RA-to-framework-summary'!$C$1:$T$1, 1, INT((ROW(A136)-1)/23)+1)</f>
        <v>F6</v>
      </c>
      <c r="B137" s="3" t="str">
        <f t="array" ref="B137">INDEX('final-RA-to-framework-summary'!$C$2:$T$2, 1, INT((ROW(B136)-1)/23)+1)</f>
        <v>dm_control</v>
      </c>
      <c r="C137" s="3" t="str">
        <f t="array" ref="C137">INDEX('final-RA-to-framework-summary'!$B$4:$B$26, MOD(ROW(A136)-1, 23)+1)</f>
        <v>Recorder</v>
      </c>
      <c r="D137" s="3" t="str">
        <f t="array" ref="D137">INDEX('final-RA-to-framework-summary'!$C$4:$Z$26, MOD(ROW(A136)-1, 23)+1, INT((ROW(A136)-1)/23)+1)</f>
        <v>not implemented</v>
      </c>
      <c r="E137" s="8"/>
      <c r="F137" s="8"/>
      <c r="G137" s="8"/>
      <c r="H137" s="8"/>
      <c r="I137" s="8"/>
      <c r="J137" s="8"/>
      <c r="K137" s="8"/>
      <c r="L137" s="8"/>
      <c r="M137" s="8"/>
      <c r="N137" s="8"/>
      <c r="O137" s="8"/>
      <c r="P137" s="8"/>
      <c r="Q137" s="8"/>
      <c r="R137" s="8"/>
      <c r="S137" s="8"/>
      <c r="T137" s="8"/>
      <c r="U137" s="8"/>
      <c r="V137" s="8"/>
      <c r="W137" s="8"/>
      <c r="X137" s="8"/>
      <c r="Y137" s="8"/>
      <c r="Z137" s="8"/>
    </row>
    <row r="138">
      <c r="A138" s="3" t="str">
        <f t="array" ref="A138">INDEX('final-RA-to-framework-summary'!$C$1:$T$1, 1, INT((ROW(A137)-1)/23)+1)</f>
        <v>F6</v>
      </c>
      <c r="B138" s="3" t="str">
        <f t="array" ref="B138">INDEX('final-RA-to-framework-summary'!$C$2:$T$2, 1, INT((ROW(B137)-1)/23)+1)</f>
        <v>dm_control</v>
      </c>
      <c r="C138" s="3" t="str">
        <f t="array" ref="C138">INDEX('final-RA-to-framework-summary'!$B$4:$B$26, MOD(ROW(A137)-1, 23)+1)</f>
        <v>Logger</v>
      </c>
      <c r="D138" s="3" t="str">
        <f t="array" ref="D138">INDEX('final-RA-to-framework-summary'!$C$4:$Z$26, MOD(ROW(A137)-1, 23)+1, INT((ROW(A137)-1)/23)+1)</f>
        <v>explicit</v>
      </c>
      <c r="E138" s="9" t="s">
        <v>245</v>
      </c>
      <c r="F138" s="10" t="s">
        <v>246</v>
      </c>
      <c r="G138" s="8"/>
      <c r="H138" s="8"/>
      <c r="I138" s="8"/>
      <c r="J138" s="8"/>
      <c r="K138" s="8"/>
      <c r="L138" s="8"/>
      <c r="M138" s="8"/>
      <c r="N138" s="8"/>
      <c r="O138" s="8"/>
      <c r="P138" s="8"/>
      <c r="Q138" s="8"/>
      <c r="R138" s="8"/>
      <c r="S138" s="8"/>
      <c r="T138" s="8"/>
      <c r="U138" s="8"/>
      <c r="V138" s="8"/>
      <c r="W138" s="8"/>
      <c r="X138" s="8"/>
      <c r="Y138" s="8"/>
      <c r="Z138" s="8"/>
    </row>
    <row r="139">
      <c r="A139" s="3" t="str">
        <f t="array" ref="A139">INDEX('final-RA-to-framework-summary'!$C$1:$T$1, 1, INT((ROW(A138)-1)/23)+1)</f>
        <v>F6</v>
      </c>
      <c r="B139" s="3" t="str">
        <f t="array" ref="B139">INDEX('final-RA-to-framework-summary'!$C$2:$T$2, 1, INT((ROW(B138)-1)/23)+1)</f>
        <v>dm_control</v>
      </c>
      <c r="C139" s="3" t="str">
        <f t="array" ref="C139">INDEX('final-RA-to-framework-summary'!$B$4:$B$26, MOD(ROW(A138)-1, 23)+1)</f>
        <v>Reporter</v>
      </c>
      <c r="D139" s="3" t="str">
        <f t="array" ref="D139">INDEX('final-RA-to-framework-summary'!$C$4:$Z$26, MOD(ROW(A138)-1, 23)+1, INT((ROW(A138)-1)/23)+1)</f>
        <v>not implemented</v>
      </c>
      <c r="E139" s="8"/>
      <c r="F139" s="8"/>
      <c r="G139" s="8"/>
      <c r="H139" s="8"/>
      <c r="I139" s="8"/>
      <c r="J139" s="8"/>
      <c r="K139" s="8"/>
      <c r="L139" s="8"/>
      <c r="M139" s="8"/>
      <c r="N139" s="8"/>
      <c r="O139" s="8"/>
      <c r="P139" s="8"/>
      <c r="Q139" s="8"/>
      <c r="R139" s="8"/>
      <c r="S139" s="8"/>
      <c r="T139" s="8"/>
      <c r="U139" s="8"/>
      <c r="V139" s="8"/>
      <c r="W139" s="8"/>
      <c r="X139" s="8"/>
      <c r="Y139" s="8"/>
      <c r="Z139" s="8"/>
    </row>
    <row r="140">
      <c r="A140" s="3" t="str">
        <f t="array" ref="A140">INDEX('final-RA-to-framework-summary'!$C$1:$T$1, 1, INT((ROW(A139)-1)/23)+1)</f>
        <v>F7</v>
      </c>
      <c r="B140" s="3" t="str">
        <f t="array" ref="B140">INDEX('final-RA-to-framework-summary'!$C$2:$T$2, 1, INT((ROW(B139)-1)/23)+1)</f>
        <v>DeepMind Lab</v>
      </c>
      <c r="C140" s="3" t="str">
        <f t="array" ref="C140">INDEX('final-RA-to-framework-summary'!$B$4:$B$26, MOD(ROW(A139)-1, 23)+1)</f>
        <v>Experiment Orchestrator</v>
      </c>
      <c r="D140" s="3" t="str">
        <f t="array" ref="D140">INDEX('final-RA-to-framework-summary'!$C$4:$Z$26, MOD(ROW(A139)-1, 23)+1, INT((ROW(A139)-1)/23)+1)</f>
        <v>not implemented</v>
      </c>
      <c r="E140" s="8"/>
      <c r="F140" s="8"/>
      <c r="G140" s="8"/>
      <c r="H140" s="8"/>
      <c r="I140" s="8"/>
      <c r="J140" s="8"/>
      <c r="K140" s="8"/>
      <c r="L140" s="8"/>
      <c r="M140" s="8"/>
      <c r="N140" s="8"/>
      <c r="O140" s="8"/>
      <c r="P140" s="8"/>
      <c r="Q140" s="8"/>
      <c r="R140" s="8"/>
      <c r="S140" s="8"/>
      <c r="T140" s="8"/>
      <c r="U140" s="8"/>
      <c r="V140" s="8"/>
      <c r="W140" s="8"/>
      <c r="X140" s="8"/>
      <c r="Y140" s="8"/>
      <c r="Z140" s="8"/>
    </row>
    <row r="141">
      <c r="A141" s="3" t="str">
        <f t="array" ref="A141">INDEX('final-RA-to-framework-summary'!$C$1:$T$1, 1, INT((ROW(A140)-1)/23)+1)</f>
        <v>F7</v>
      </c>
      <c r="B141" s="3" t="str">
        <f t="array" ref="B141">INDEX('final-RA-to-framework-summary'!$C$2:$T$2, 1, INT((ROW(B140)-1)/23)+1)</f>
        <v>DeepMind Lab</v>
      </c>
      <c r="C141" s="3" t="str">
        <f t="array" ref="C141">INDEX('final-RA-to-framework-summary'!$B$4:$B$26, MOD(ROW(A140)-1, 23)+1)</f>
        <v>Experiment Manager</v>
      </c>
      <c r="D141" s="3" t="str">
        <f t="array" ref="D141">INDEX('final-RA-to-framework-summary'!$C$4:$Z$26, MOD(ROW(A140)-1, 23)+1, INT((ROW(A140)-1)/23)+1)</f>
        <v>not implemented</v>
      </c>
      <c r="E141" s="8"/>
      <c r="F141" s="8"/>
      <c r="G141" s="8"/>
      <c r="H141" s="8"/>
      <c r="I141" s="8"/>
      <c r="J141" s="8"/>
      <c r="K141" s="8"/>
      <c r="L141" s="8"/>
      <c r="M141" s="8"/>
      <c r="N141" s="8"/>
      <c r="O141" s="8"/>
      <c r="P141" s="8"/>
      <c r="Q141" s="8"/>
      <c r="R141" s="8"/>
      <c r="S141" s="8"/>
      <c r="T141" s="8"/>
      <c r="U141" s="8"/>
      <c r="V141" s="8"/>
      <c r="W141" s="8"/>
      <c r="X141" s="8"/>
      <c r="Y141" s="8"/>
      <c r="Z141" s="8"/>
    </row>
    <row r="142">
      <c r="A142" s="3" t="str">
        <f t="array" ref="A142">INDEX('final-RA-to-framework-summary'!$C$1:$T$1, 1, INT((ROW(A141)-1)/23)+1)</f>
        <v>F7</v>
      </c>
      <c r="B142" s="3" t="str">
        <f t="array" ref="B142">INDEX('final-RA-to-framework-summary'!$C$2:$T$2, 1, INT((ROW(B141)-1)/23)+1)</f>
        <v>DeepMind Lab</v>
      </c>
      <c r="C142" s="3" t="str">
        <f t="array" ref="C142">INDEX('final-RA-to-framework-summary'!$B$4:$B$26, MOD(ROW(A141)-1, 23)+1)</f>
        <v>Hyperparameter Tuner</v>
      </c>
      <c r="D142" s="3" t="str">
        <f t="array" ref="D142">INDEX('final-RA-to-framework-summary'!$C$4:$Z$26, MOD(ROW(A141)-1, 23)+1, INT((ROW(A141)-1)/23)+1)</f>
        <v>not implemented</v>
      </c>
      <c r="E142" s="8"/>
      <c r="F142" s="8"/>
      <c r="G142" s="8"/>
      <c r="H142" s="8"/>
      <c r="I142" s="8"/>
      <c r="J142" s="8"/>
      <c r="K142" s="8"/>
      <c r="L142" s="8"/>
      <c r="M142" s="8"/>
      <c r="N142" s="8"/>
      <c r="O142" s="8"/>
      <c r="P142" s="8"/>
      <c r="Q142" s="8"/>
      <c r="R142" s="8"/>
      <c r="S142" s="8"/>
      <c r="T142" s="8"/>
      <c r="U142" s="8"/>
      <c r="V142" s="8"/>
      <c r="W142" s="8"/>
      <c r="X142" s="8"/>
      <c r="Y142" s="8"/>
      <c r="Z142" s="8"/>
    </row>
    <row r="143">
      <c r="A143" s="3" t="str">
        <f t="array" ref="A143">INDEX('final-RA-to-framework-summary'!$C$1:$T$1, 1, INT((ROW(A142)-1)/23)+1)</f>
        <v>F7</v>
      </c>
      <c r="B143" s="3" t="str">
        <f t="array" ref="B143">INDEX('final-RA-to-framework-summary'!$C$2:$T$2, 1, INT((ROW(B142)-1)/23)+1)</f>
        <v>DeepMind Lab</v>
      </c>
      <c r="C143" s="3" t="str">
        <f t="array" ref="C143">INDEX('final-RA-to-framework-summary'!$B$4:$B$26, MOD(ROW(A142)-1, 23)+1)</f>
        <v>Benchmark Manager</v>
      </c>
      <c r="D143" s="3" t="str">
        <f t="array" ref="D143">INDEX('final-RA-to-framework-summary'!$C$4:$Z$26, MOD(ROW(A142)-1, 23)+1, INT((ROW(A142)-1)/23)+1)</f>
        <v>not implemented</v>
      </c>
      <c r="E143" s="8"/>
      <c r="F143" s="8"/>
      <c r="G143" s="8"/>
      <c r="H143" s="8"/>
      <c r="I143" s="8"/>
      <c r="J143" s="8"/>
      <c r="K143" s="8"/>
      <c r="L143" s="8"/>
      <c r="M143" s="8"/>
      <c r="N143" s="8"/>
      <c r="O143" s="8"/>
      <c r="P143" s="8"/>
      <c r="Q143" s="8"/>
      <c r="R143" s="8"/>
      <c r="S143" s="8"/>
      <c r="T143" s="8"/>
      <c r="U143" s="8"/>
      <c r="V143" s="8"/>
      <c r="W143" s="8"/>
      <c r="X143" s="8"/>
      <c r="Y143" s="8"/>
      <c r="Z143" s="8"/>
    </row>
    <row r="144">
      <c r="A144" s="3" t="str">
        <f t="array" ref="A144">INDEX('final-RA-to-framework-summary'!$C$1:$T$1, 1, INT((ROW(A143)-1)/23)+1)</f>
        <v>F7</v>
      </c>
      <c r="B144" s="3" t="str">
        <f t="array" ref="B144">INDEX('final-RA-to-framework-summary'!$C$2:$T$2, 1, INT((ROW(B143)-1)/23)+1)</f>
        <v>DeepMind Lab</v>
      </c>
      <c r="C144" s="3" t="str">
        <f t="array" ref="C144">INDEX('final-RA-to-framework-summary'!$B$4:$B$26, MOD(ROW(A143)-1, 23)+1)</f>
        <v>Framework Orchestrator</v>
      </c>
      <c r="D144" s="3" t="str">
        <f t="array" ref="D144">INDEX('final-RA-to-framework-summary'!$C$4:$Z$26, MOD(ROW(A143)-1, 23)+1, INT((ROW(A143)-1)/23)+1)</f>
        <v>not implemented</v>
      </c>
      <c r="E144" s="8"/>
      <c r="F144" s="8"/>
      <c r="G144" s="8"/>
      <c r="H144" s="8"/>
      <c r="I144" s="8"/>
      <c r="J144" s="8"/>
      <c r="K144" s="8"/>
      <c r="L144" s="8"/>
      <c r="M144" s="8"/>
      <c r="N144" s="8"/>
      <c r="O144" s="8"/>
      <c r="P144" s="8"/>
      <c r="Q144" s="8"/>
      <c r="R144" s="8"/>
      <c r="S144" s="8"/>
      <c r="T144" s="8"/>
      <c r="U144" s="8"/>
      <c r="V144" s="8"/>
      <c r="W144" s="8"/>
      <c r="X144" s="8"/>
      <c r="Y144" s="8"/>
      <c r="Z144" s="8"/>
    </row>
    <row r="145">
      <c r="A145" s="3" t="str">
        <f t="array" ref="A145">INDEX('final-RA-to-framework-summary'!$C$1:$T$1, 1, INT((ROW(A144)-1)/23)+1)</f>
        <v>F7</v>
      </c>
      <c r="B145" s="3" t="str">
        <f t="array" ref="B145">INDEX('final-RA-to-framework-summary'!$C$2:$T$2, 1, INT((ROW(B144)-1)/23)+1)</f>
        <v>DeepMind Lab</v>
      </c>
      <c r="C145" s="3" t="str">
        <f t="array" ref="C145">INDEX('final-RA-to-framework-summary'!$B$4:$B$26, MOD(ROW(A144)-1, 23)+1)</f>
        <v>Lifecycle Manager</v>
      </c>
      <c r="D145" s="3" t="str">
        <f t="array" ref="D145">INDEX('final-RA-to-framework-summary'!$C$4:$Z$26, MOD(ROW(A144)-1, 23)+1, INT((ROW(A144)-1)/23)+1)</f>
        <v>not implemented</v>
      </c>
      <c r="E145" s="8"/>
      <c r="F145" s="8"/>
      <c r="G145" s="8"/>
      <c r="H145" s="8"/>
      <c r="I145" s="8"/>
      <c r="J145" s="8"/>
      <c r="K145" s="8"/>
      <c r="L145" s="8"/>
      <c r="M145" s="8"/>
      <c r="N145" s="8"/>
      <c r="O145" s="8"/>
      <c r="P145" s="8"/>
      <c r="Q145" s="8"/>
      <c r="R145" s="8"/>
      <c r="S145" s="8"/>
      <c r="T145" s="8"/>
      <c r="U145" s="8"/>
      <c r="V145" s="8"/>
      <c r="W145" s="8"/>
      <c r="X145" s="8"/>
      <c r="Y145" s="8"/>
      <c r="Z145" s="8"/>
    </row>
    <row r="146">
      <c r="A146" s="3" t="str">
        <f t="array" ref="A146">INDEX('final-RA-to-framework-summary'!$C$1:$T$1, 1, INT((ROW(A145)-1)/23)+1)</f>
        <v>F7</v>
      </c>
      <c r="B146" s="3" t="str">
        <f t="array" ref="B146">INDEX('final-RA-to-framework-summary'!$C$2:$T$2, 1, INT((ROW(B145)-1)/23)+1)</f>
        <v>DeepMind Lab</v>
      </c>
      <c r="C146" s="3" t="str">
        <f t="array" ref="C146">INDEX('final-RA-to-framework-summary'!$B$4:$B$26, MOD(ROW(A145)-1, 23)+1)</f>
        <v>Configuration Manager</v>
      </c>
      <c r="D146" s="3" t="str">
        <f t="array" ref="D146">INDEX('final-RA-to-framework-summary'!$C$4:$Z$26, MOD(ROW(A145)-1, 23)+1, INT((ROW(A145)-1)/23)+1)</f>
        <v>not implemented</v>
      </c>
      <c r="E146" s="8"/>
      <c r="F146" s="8"/>
      <c r="G146" s="8"/>
      <c r="H146" s="8"/>
      <c r="I146" s="8"/>
      <c r="J146" s="8"/>
      <c r="K146" s="8"/>
      <c r="L146" s="8"/>
      <c r="M146" s="8"/>
      <c r="N146" s="8"/>
      <c r="O146" s="8"/>
      <c r="P146" s="8"/>
      <c r="Q146" s="8"/>
      <c r="R146" s="8"/>
      <c r="S146" s="8"/>
      <c r="T146" s="8"/>
      <c r="U146" s="8"/>
      <c r="V146" s="8"/>
      <c r="W146" s="8"/>
      <c r="X146" s="8"/>
      <c r="Y146" s="8"/>
      <c r="Z146" s="8"/>
    </row>
    <row r="147">
      <c r="A147" s="3" t="str">
        <f t="array" ref="A147">INDEX('final-RA-to-framework-summary'!$C$1:$T$1, 1, INT((ROW(A146)-1)/23)+1)</f>
        <v>F7</v>
      </c>
      <c r="B147" s="3" t="str">
        <f t="array" ref="B147">INDEX('final-RA-to-framework-summary'!$C$2:$T$2, 1, INT((ROW(B146)-1)/23)+1)</f>
        <v>DeepMind Lab</v>
      </c>
      <c r="C147" s="3" t="str">
        <f t="array" ref="C147">INDEX('final-RA-to-framework-summary'!$B$4:$B$26, MOD(ROW(A146)-1, 23)+1)</f>
        <v>Multi-Agent Coordinator</v>
      </c>
      <c r="D147" s="3" t="str">
        <f t="array" ref="D147">INDEX('final-RA-to-framework-summary'!$C$4:$Z$26, MOD(ROW(A146)-1, 23)+1, INT((ROW(A146)-1)/23)+1)</f>
        <v>not implemented</v>
      </c>
      <c r="E147" s="8"/>
      <c r="F147" s="8"/>
      <c r="G147" s="8"/>
      <c r="H147" s="8"/>
      <c r="I147" s="8"/>
      <c r="J147" s="8"/>
      <c r="K147" s="8"/>
      <c r="L147" s="8"/>
      <c r="M147" s="8"/>
      <c r="N147" s="8"/>
      <c r="O147" s="8"/>
      <c r="P147" s="8"/>
      <c r="Q147" s="8"/>
      <c r="R147" s="8"/>
      <c r="S147" s="8"/>
      <c r="T147" s="8"/>
      <c r="U147" s="8"/>
      <c r="V147" s="8"/>
      <c r="W147" s="8"/>
      <c r="X147" s="8"/>
      <c r="Y147" s="8"/>
      <c r="Z147" s="8"/>
    </row>
    <row r="148">
      <c r="A148" s="3" t="str">
        <f t="array" ref="A148">INDEX('final-RA-to-framework-summary'!$C$1:$T$1, 1, INT((ROW(A147)-1)/23)+1)</f>
        <v>F7</v>
      </c>
      <c r="B148" s="3" t="str">
        <f t="array" ref="B148">INDEX('final-RA-to-framework-summary'!$C$2:$T$2, 1, INT((ROW(B147)-1)/23)+1)</f>
        <v>DeepMind Lab</v>
      </c>
      <c r="C148" s="3" t="str">
        <f t="array" ref="C148">INDEX('final-RA-to-framework-summary'!$B$4:$B$26, MOD(ROW(A147)-1, 23)+1)</f>
        <v>Distributed Execution 
Coordinator</v>
      </c>
      <c r="D148" s="3" t="str">
        <f t="array" ref="D148">INDEX('final-RA-to-framework-summary'!$C$4:$Z$26, MOD(ROW(A147)-1, 23)+1, INT((ROW(A147)-1)/23)+1)</f>
        <v>not implemented</v>
      </c>
      <c r="E148" s="8"/>
      <c r="F148" s="8"/>
      <c r="G148" s="8"/>
      <c r="H148" s="8"/>
      <c r="I148" s="8"/>
      <c r="J148" s="8"/>
      <c r="K148" s="8"/>
      <c r="L148" s="8"/>
      <c r="M148" s="8"/>
      <c r="N148" s="8"/>
      <c r="O148" s="8"/>
      <c r="P148" s="8"/>
      <c r="Q148" s="8"/>
      <c r="R148" s="8"/>
      <c r="S148" s="8"/>
      <c r="T148" s="8"/>
      <c r="U148" s="8"/>
      <c r="V148" s="8"/>
      <c r="W148" s="8"/>
      <c r="X148" s="8"/>
      <c r="Y148" s="8"/>
      <c r="Z148" s="8"/>
    </row>
    <row r="149">
      <c r="A149" s="3" t="str">
        <f t="array" ref="A149">INDEX('final-RA-to-framework-summary'!$C$1:$T$1, 1, INT((ROW(A148)-1)/23)+1)</f>
        <v>F7</v>
      </c>
      <c r="B149" s="3" t="str">
        <f t="array" ref="B149">INDEX('final-RA-to-framework-summary'!$C$2:$T$2, 1, INT((ROW(B148)-1)/23)+1)</f>
        <v>DeepMind Lab</v>
      </c>
      <c r="C149" s="3" t="str">
        <f t="array" ref="C149">INDEX('final-RA-to-framework-summary'!$B$4:$B$26, MOD(ROW(A148)-1, 23)+1)</f>
        <v>Agent</v>
      </c>
      <c r="D149" s="3" t="str">
        <f t="array" ref="D149">INDEX('final-RA-to-framework-summary'!$C$4:$Z$26, MOD(ROW(A148)-1, 23)+1, INT((ROW(A148)-1)/23)+1)</f>
        <v>not implemented</v>
      </c>
      <c r="E149" s="8"/>
      <c r="F149" s="8"/>
      <c r="G149" s="8"/>
      <c r="H149" s="8"/>
      <c r="I149" s="8"/>
      <c r="J149" s="8"/>
      <c r="K149" s="8"/>
      <c r="L149" s="8"/>
      <c r="M149" s="8"/>
      <c r="N149" s="8"/>
      <c r="O149" s="8"/>
      <c r="P149" s="8"/>
      <c r="Q149" s="8"/>
      <c r="R149" s="8"/>
      <c r="S149" s="8"/>
      <c r="T149" s="8"/>
      <c r="U149" s="8"/>
      <c r="V149" s="8"/>
      <c r="W149" s="8"/>
      <c r="X149" s="8"/>
      <c r="Y149" s="8"/>
      <c r="Z149" s="8"/>
    </row>
    <row r="150">
      <c r="A150" s="3" t="str">
        <f t="array" ref="A150">INDEX('final-RA-to-framework-summary'!$C$1:$T$1, 1, INT((ROW(A149)-1)/23)+1)</f>
        <v>F7</v>
      </c>
      <c r="B150" s="3" t="str">
        <f t="array" ref="B150">INDEX('final-RA-to-framework-summary'!$C$2:$T$2, 1, INT((ROW(B149)-1)/23)+1)</f>
        <v>DeepMind Lab</v>
      </c>
      <c r="C150" s="3" t="str">
        <f t="array" ref="C150">INDEX('final-RA-to-framework-summary'!$B$4:$B$26, MOD(ROW(A149)-1, 23)+1)</f>
        <v>Function Approximator</v>
      </c>
      <c r="D150" s="3" t="str">
        <f t="array" ref="D150">INDEX('final-RA-to-framework-summary'!$C$4:$Z$26, MOD(ROW(A149)-1, 23)+1, INT((ROW(A149)-1)/23)+1)</f>
        <v>not implemented</v>
      </c>
      <c r="E150" s="8"/>
      <c r="F150" s="8"/>
      <c r="G150" s="8"/>
      <c r="H150" s="8"/>
      <c r="I150" s="8"/>
      <c r="J150" s="8"/>
      <c r="K150" s="8"/>
      <c r="L150" s="8"/>
      <c r="M150" s="8"/>
      <c r="N150" s="8"/>
      <c r="O150" s="8"/>
      <c r="P150" s="8"/>
      <c r="Q150" s="8"/>
      <c r="R150" s="8"/>
      <c r="S150" s="8"/>
      <c r="T150" s="8"/>
      <c r="U150" s="8"/>
      <c r="V150" s="8"/>
      <c r="W150" s="8"/>
      <c r="X150" s="8"/>
      <c r="Y150" s="8"/>
      <c r="Z150" s="8"/>
    </row>
    <row r="151">
      <c r="A151" s="3" t="str">
        <f t="array" ref="A151">INDEX('final-RA-to-framework-summary'!$C$1:$T$1, 1, INT((ROW(A150)-1)/23)+1)</f>
        <v>F7</v>
      </c>
      <c r="B151" s="3" t="str">
        <f t="array" ref="B151">INDEX('final-RA-to-framework-summary'!$C$2:$T$2, 1, INT((ROW(B150)-1)/23)+1)</f>
        <v>DeepMind Lab</v>
      </c>
      <c r="C151" s="3" t="str">
        <f t="array" ref="C151">INDEX('final-RA-to-framework-summary'!$B$4:$B$26, MOD(ROW(A150)-1, 23)+1)</f>
        <v>Buffer</v>
      </c>
      <c r="D151" s="3" t="str">
        <f t="array" ref="D151">INDEX('final-RA-to-framework-summary'!$C$4:$Z$26, MOD(ROW(A150)-1, 23)+1, INT((ROW(A150)-1)/23)+1)</f>
        <v>not implemented</v>
      </c>
      <c r="E151" s="8"/>
      <c r="F151" s="8"/>
      <c r="G151" s="8"/>
      <c r="H151" s="8"/>
      <c r="I151" s="8"/>
      <c r="J151" s="8"/>
      <c r="K151" s="8"/>
      <c r="L151" s="8"/>
      <c r="M151" s="8"/>
      <c r="N151" s="8"/>
      <c r="O151" s="8"/>
      <c r="P151" s="8"/>
      <c r="Q151" s="8"/>
      <c r="R151" s="8"/>
      <c r="S151" s="8"/>
      <c r="T151" s="8"/>
      <c r="U151" s="8"/>
      <c r="V151" s="8"/>
      <c r="W151" s="8"/>
      <c r="X151" s="8"/>
      <c r="Y151" s="8"/>
      <c r="Z151" s="8"/>
    </row>
    <row r="152">
      <c r="A152" s="3" t="str">
        <f t="array" ref="A152">INDEX('final-RA-to-framework-summary'!$C$1:$T$1, 1, INT((ROW(A151)-1)/23)+1)</f>
        <v>F7</v>
      </c>
      <c r="B152" s="3" t="str">
        <f t="array" ref="B152">INDEX('final-RA-to-framework-summary'!$C$2:$T$2, 1, INT((ROW(B151)-1)/23)+1)</f>
        <v>DeepMind Lab</v>
      </c>
      <c r="C152" s="3" t="str">
        <f t="array" ref="C152">INDEX('final-RA-to-framework-summary'!$B$4:$B$26, MOD(ROW(A151)-1, 23)+1)</f>
        <v>Learner</v>
      </c>
      <c r="D152" s="3" t="str">
        <f t="array" ref="D152">INDEX('final-RA-to-framework-summary'!$C$4:$Z$26, MOD(ROW(A151)-1, 23)+1, INT((ROW(A151)-1)/23)+1)</f>
        <v>not implemented</v>
      </c>
      <c r="E152" s="8"/>
      <c r="F152" s="8"/>
      <c r="G152" s="8"/>
      <c r="H152" s="8"/>
      <c r="I152" s="8"/>
      <c r="J152" s="8"/>
      <c r="K152" s="8"/>
      <c r="L152" s="8"/>
      <c r="M152" s="8"/>
      <c r="N152" s="8"/>
      <c r="O152" s="8"/>
      <c r="P152" s="8"/>
      <c r="Q152" s="8"/>
      <c r="R152" s="8"/>
      <c r="S152" s="8"/>
      <c r="T152" s="8"/>
      <c r="U152" s="8"/>
      <c r="V152" s="8"/>
      <c r="W152" s="8"/>
      <c r="X152" s="8"/>
      <c r="Y152" s="8"/>
      <c r="Z152" s="8"/>
    </row>
    <row r="153">
      <c r="A153" s="3" t="str">
        <f t="array" ref="A153">INDEX('final-RA-to-framework-summary'!$C$1:$T$1, 1, INT((ROW(A152)-1)/23)+1)</f>
        <v>F7</v>
      </c>
      <c r="B153" s="3" t="str">
        <f t="array" ref="B153">INDEX('final-RA-to-framework-summary'!$C$2:$T$2, 1, INT((ROW(B152)-1)/23)+1)</f>
        <v>DeepMind Lab</v>
      </c>
      <c r="C153" s="3" t="str">
        <f t="array" ref="C153">INDEX('final-RA-to-framework-summary'!$B$4:$B$26, MOD(ROW(A152)-1, 23)+1)</f>
        <v>Environment</v>
      </c>
      <c r="D153" s="3" t="str">
        <f t="array" ref="D153">INDEX('final-RA-to-framework-summary'!$C$4:$Z$26, MOD(ROW(A152)-1, 23)+1, INT((ROW(A152)-1)/23)+1)</f>
        <v>explicit</v>
      </c>
      <c r="E153" s="9" t="s">
        <v>247</v>
      </c>
      <c r="F153" s="10" t="s">
        <v>248</v>
      </c>
      <c r="G153" s="8"/>
      <c r="H153" s="8"/>
      <c r="I153" s="8"/>
      <c r="J153" s="8"/>
      <c r="K153" s="8"/>
      <c r="L153" s="8"/>
      <c r="M153" s="8"/>
      <c r="N153" s="8"/>
      <c r="O153" s="8"/>
      <c r="P153" s="8"/>
      <c r="Q153" s="8"/>
      <c r="R153" s="8"/>
      <c r="S153" s="8"/>
      <c r="T153" s="8"/>
      <c r="U153" s="8"/>
      <c r="V153" s="8"/>
      <c r="W153" s="8"/>
      <c r="X153" s="8"/>
      <c r="Y153" s="8"/>
      <c r="Z153" s="8"/>
    </row>
    <row r="154">
      <c r="A154" s="3" t="str">
        <f t="array" ref="A154">INDEX('final-RA-to-framework-summary'!$C$1:$T$1, 1, INT((ROW(A153)-1)/23)+1)</f>
        <v>F7</v>
      </c>
      <c r="B154" s="3" t="str">
        <f t="array" ref="B154">INDEX('final-RA-to-framework-summary'!$C$2:$T$2, 1, INT((ROW(B153)-1)/23)+1)</f>
        <v>DeepMind Lab</v>
      </c>
      <c r="C154" s="3" t="str">
        <f t="array" ref="C154">INDEX('final-RA-to-framework-summary'!$B$4:$B$26, MOD(ROW(A153)-1, 23)+1)</f>
        <v>Environment Core</v>
      </c>
      <c r="D154" s="3" t="str">
        <f t="array" ref="D154">INDEX('final-RA-to-framework-summary'!$C$4:$Z$26, MOD(ROW(A153)-1, 23)+1, INT((ROW(A153)-1)/23)+1)</f>
        <v>explicit</v>
      </c>
      <c r="E154" s="9" t="s">
        <v>249</v>
      </c>
      <c r="F154" s="10" t="s">
        <v>250</v>
      </c>
      <c r="G154" s="10" t="s">
        <v>251</v>
      </c>
      <c r="H154" s="8"/>
      <c r="I154" s="8"/>
      <c r="J154" s="8"/>
      <c r="K154" s="8"/>
      <c r="L154" s="8"/>
      <c r="M154" s="8"/>
      <c r="N154" s="8"/>
      <c r="O154" s="8"/>
      <c r="P154" s="8"/>
      <c r="Q154" s="8"/>
      <c r="R154" s="8"/>
      <c r="S154" s="8"/>
      <c r="T154" s="8"/>
      <c r="U154" s="8"/>
      <c r="V154" s="8"/>
      <c r="W154" s="8"/>
      <c r="X154" s="8"/>
      <c r="Y154" s="8"/>
      <c r="Z154" s="8"/>
    </row>
    <row r="155">
      <c r="A155" s="3" t="str">
        <f t="array" ref="A155">INDEX('final-RA-to-framework-summary'!$C$1:$T$1, 1, INT((ROW(A154)-1)/23)+1)</f>
        <v>F7</v>
      </c>
      <c r="B155" s="3" t="str">
        <f t="array" ref="B155">INDEX('final-RA-to-framework-summary'!$C$2:$T$2, 1, INT((ROW(B154)-1)/23)+1)</f>
        <v>DeepMind Lab</v>
      </c>
      <c r="C155" s="3" t="str">
        <f t="array" ref="C155">INDEX('final-RA-to-framework-summary'!$B$4:$B$26, MOD(ROW(A154)-1, 23)+1)</f>
        <v>Simulator</v>
      </c>
      <c r="D155" s="3" t="str">
        <f t="array" ref="D155">INDEX('final-RA-to-framework-summary'!$C$4:$Z$26, MOD(ROW(A154)-1, 23)+1, INT((ROW(A154)-1)/23)+1)</f>
        <v>external</v>
      </c>
      <c r="E155" s="9" t="s">
        <v>252</v>
      </c>
      <c r="F155" s="10" t="s">
        <v>253</v>
      </c>
      <c r="G155" s="10" t="s">
        <v>254</v>
      </c>
      <c r="H155" s="10" t="s">
        <v>255</v>
      </c>
      <c r="I155" s="8"/>
      <c r="J155" s="8"/>
      <c r="K155" s="8"/>
      <c r="L155" s="8"/>
      <c r="M155" s="8"/>
      <c r="N155" s="8"/>
      <c r="O155" s="8"/>
      <c r="P155" s="8"/>
      <c r="Q155" s="8"/>
      <c r="R155" s="8"/>
      <c r="S155" s="8"/>
      <c r="T155" s="8"/>
      <c r="U155" s="8"/>
      <c r="V155" s="8"/>
      <c r="W155" s="8"/>
      <c r="X155" s="8"/>
      <c r="Y155" s="8"/>
      <c r="Z155" s="8"/>
    </row>
    <row r="156">
      <c r="A156" s="3" t="str">
        <f t="array" ref="A156">INDEX('final-RA-to-framework-summary'!$C$1:$T$1, 1, INT((ROW(A155)-1)/23)+1)</f>
        <v>F7</v>
      </c>
      <c r="B156" s="3" t="str">
        <f t="array" ref="B156">INDEX('final-RA-to-framework-summary'!$C$2:$T$2, 1, INT((ROW(B155)-1)/23)+1)</f>
        <v>DeepMind Lab</v>
      </c>
      <c r="C156" s="3" t="str">
        <f t="array" ref="C156">INDEX('final-RA-to-framework-summary'!$B$4:$B$26, MOD(ROW(A155)-1, 23)+1)</f>
        <v>Simulator Adapter</v>
      </c>
      <c r="D156" s="3" t="str">
        <f t="array" ref="D156">INDEX('final-RA-to-framework-summary'!$C$4:$Z$26, MOD(ROW(A155)-1, 23)+1, INT((ROW(A155)-1)/23)+1)</f>
        <v>explicit</v>
      </c>
      <c r="E156" s="9" t="s">
        <v>256</v>
      </c>
      <c r="F156" s="10" t="s">
        <v>257</v>
      </c>
      <c r="G156" s="10" t="s">
        <v>258</v>
      </c>
      <c r="H156" s="8"/>
      <c r="I156" s="8"/>
      <c r="J156" s="8"/>
      <c r="K156" s="8"/>
      <c r="L156" s="8"/>
      <c r="M156" s="8"/>
      <c r="N156" s="8"/>
      <c r="O156" s="8"/>
      <c r="P156" s="8"/>
      <c r="Q156" s="8"/>
      <c r="R156" s="8"/>
      <c r="S156" s="8"/>
      <c r="T156" s="8"/>
      <c r="U156" s="8"/>
      <c r="V156" s="8"/>
      <c r="W156" s="8"/>
      <c r="X156" s="8"/>
      <c r="Y156" s="8"/>
      <c r="Z156" s="8"/>
    </row>
    <row r="157">
      <c r="A157" s="3" t="str">
        <f t="array" ref="A157">INDEX('final-RA-to-framework-summary'!$C$1:$T$1, 1, INT((ROW(A156)-1)/23)+1)</f>
        <v>F7</v>
      </c>
      <c r="B157" s="3" t="str">
        <f t="array" ref="B157">INDEX('final-RA-to-framework-summary'!$C$2:$T$2, 1, INT((ROW(B156)-1)/23)+1)</f>
        <v>DeepMind Lab</v>
      </c>
      <c r="C157" s="3" t="str">
        <f t="array" ref="C157">INDEX('final-RA-to-framework-summary'!$B$4:$B$26, MOD(ROW(A156)-1, 23)+1)</f>
        <v>Checkpoint Manager</v>
      </c>
      <c r="D157" s="3" t="str">
        <f t="array" ref="D157">INDEX('final-RA-to-framework-summary'!$C$4:$Z$26, MOD(ROW(A156)-1, 23)+1, INT((ROW(A156)-1)/23)+1)</f>
        <v>not implemented</v>
      </c>
      <c r="E157" s="8"/>
      <c r="F157" s="8"/>
      <c r="G157" s="8"/>
      <c r="H157" s="8"/>
      <c r="I157" s="8"/>
      <c r="J157" s="8"/>
      <c r="K157" s="8"/>
      <c r="L157" s="8"/>
      <c r="M157" s="8"/>
      <c r="N157" s="8"/>
      <c r="O157" s="8"/>
      <c r="P157" s="8"/>
      <c r="Q157" s="8"/>
      <c r="R157" s="8"/>
      <c r="S157" s="8"/>
      <c r="T157" s="8"/>
      <c r="U157" s="8"/>
      <c r="V157" s="8"/>
      <c r="W157" s="8"/>
      <c r="X157" s="8"/>
      <c r="Y157" s="8"/>
      <c r="Z157" s="8"/>
    </row>
    <row r="158">
      <c r="A158" s="3" t="str">
        <f t="array" ref="A158">INDEX('final-RA-to-framework-summary'!$C$1:$T$1, 1, INT((ROW(A157)-1)/23)+1)</f>
        <v>F7</v>
      </c>
      <c r="B158" s="3" t="str">
        <f t="array" ref="B158">INDEX('final-RA-to-framework-summary'!$C$2:$T$2, 1, INT((ROW(B157)-1)/23)+1)</f>
        <v>DeepMind Lab</v>
      </c>
      <c r="C158" s="3" t="str">
        <f t="array" ref="C158">INDEX('final-RA-to-framework-summary'!$B$4:$B$26, MOD(ROW(A157)-1, 23)+1)</f>
        <v>Environment Parameter 
Manager</v>
      </c>
      <c r="D158" s="3" t="str">
        <f t="array" ref="D158">INDEX('final-RA-to-framework-summary'!$C$4:$Z$26, MOD(ROW(A157)-1, 23)+1, INT((ROW(A157)-1)/23)+1)</f>
        <v>not implemented</v>
      </c>
      <c r="E158" s="8"/>
      <c r="F158" s="8"/>
      <c r="G158" s="8"/>
      <c r="H158" s="8"/>
      <c r="I158" s="8"/>
      <c r="J158" s="8"/>
      <c r="K158" s="8"/>
      <c r="L158" s="8"/>
      <c r="M158" s="8"/>
      <c r="N158" s="8"/>
      <c r="O158" s="8"/>
      <c r="P158" s="8"/>
      <c r="Q158" s="8"/>
      <c r="R158" s="8"/>
      <c r="S158" s="8"/>
      <c r="T158" s="8"/>
      <c r="U158" s="8"/>
      <c r="V158" s="8"/>
      <c r="W158" s="8"/>
      <c r="X158" s="8"/>
      <c r="Y158" s="8"/>
      <c r="Z158" s="8"/>
    </row>
    <row r="159">
      <c r="A159" s="3" t="str">
        <f t="array" ref="A159">INDEX('final-RA-to-framework-summary'!$C$1:$T$1, 1, INT((ROW(A158)-1)/23)+1)</f>
        <v>F7</v>
      </c>
      <c r="B159" s="3" t="str">
        <f t="array" ref="B159">INDEX('final-RA-to-framework-summary'!$C$2:$T$2, 1, INT((ROW(B158)-1)/23)+1)</f>
        <v>DeepMind Lab</v>
      </c>
      <c r="C159" s="3" t="str">
        <f t="array" ref="C159">INDEX('final-RA-to-framework-summary'!$B$4:$B$26, MOD(ROW(A158)-1, 23)+1)</f>
        <v>Renderer</v>
      </c>
      <c r="D159" s="3" t="str">
        <f t="array" ref="D159">INDEX('final-RA-to-framework-summary'!$C$4:$Z$26, MOD(ROW(A158)-1, 23)+1, INT((ROW(A158)-1)/23)+1)</f>
        <v>explicit</v>
      </c>
      <c r="E159" s="9" t="s">
        <v>259</v>
      </c>
      <c r="F159" s="10" t="s">
        <v>260</v>
      </c>
      <c r="G159" s="8"/>
      <c r="H159" s="8"/>
      <c r="I159" s="8"/>
      <c r="J159" s="8"/>
      <c r="K159" s="8"/>
      <c r="L159" s="8"/>
      <c r="M159" s="8"/>
      <c r="N159" s="8"/>
      <c r="O159" s="8"/>
      <c r="P159" s="8"/>
      <c r="Q159" s="8"/>
      <c r="R159" s="8"/>
      <c r="S159" s="8"/>
      <c r="T159" s="8"/>
      <c r="U159" s="8"/>
      <c r="V159" s="8"/>
      <c r="W159" s="8"/>
      <c r="X159" s="8"/>
      <c r="Y159" s="8"/>
      <c r="Z159" s="8"/>
    </row>
    <row r="160">
      <c r="A160" s="3" t="str">
        <f t="array" ref="A160">INDEX('final-RA-to-framework-summary'!$C$1:$T$1, 1, INT((ROW(A159)-1)/23)+1)</f>
        <v>F7</v>
      </c>
      <c r="B160" s="3" t="str">
        <f t="array" ref="B160">INDEX('final-RA-to-framework-summary'!$C$2:$T$2, 1, INT((ROW(B159)-1)/23)+1)</f>
        <v>DeepMind Lab</v>
      </c>
      <c r="C160" s="3" t="str">
        <f t="array" ref="C160">INDEX('final-RA-to-framework-summary'!$B$4:$B$26, MOD(ROW(A159)-1, 23)+1)</f>
        <v>Recorder</v>
      </c>
      <c r="D160" s="3" t="str">
        <f t="array" ref="D160">INDEX('final-RA-to-framework-summary'!$C$4:$Z$26, MOD(ROW(A159)-1, 23)+1, INT((ROW(A159)-1)/23)+1)</f>
        <v>explicit</v>
      </c>
      <c r="E160" s="9" t="s">
        <v>261</v>
      </c>
      <c r="F160" s="10" t="s">
        <v>262</v>
      </c>
      <c r="G160" s="8"/>
      <c r="H160" s="8"/>
      <c r="I160" s="8"/>
      <c r="J160" s="8"/>
      <c r="K160" s="8"/>
      <c r="L160" s="8"/>
      <c r="M160" s="8"/>
      <c r="N160" s="8"/>
      <c r="O160" s="8"/>
      <c r="P160" s="8"/>
      <c r="Q160" s="8"/>
      <c r="R160" s="8"/>
      <c r="S160" s="8"/>
      <c r="T160" s="8"/>
      <c r="U160" s="8"/>
      <c r="V160" s="8"/>
      <c r="W160" s="8"/>
      <c r="X160" s="8"/>
      <c r="Y160" s="8"/>
      <c r="Z160" s="8"/>
    </row>
    <row r="161">
      <c r="A161" s="3" t="str">
        <f t="array" ref="A161">INDEX('final-RA-to-framework-summary'!$C$1:$T$1, 1, INT((ROW(A160)-1)/23)+1)</f>
        <v>F7</v>
      </c>
      <c r="B161" s="3" t="str">
        <f t="array" ref="B161">INDEX('final-RA-to-framework-summary'!$C$2:$T$2, 1, INT((ROW(B160)-1)/23)+1)</f>
        <v>DeepMind Lab</v>
      </c>
      <c r="C161" s="3" t="str">
        <f t="array" ref="C161">INDEX('final-RA-to-framework-summary'!$B$4:$B$26, MOD(ROW(A160)-1, 23)+1)</f>
        <v>Logger</v>
      </c>
      <c r="D161" s="3" t="str">
        <f t="array" ref="D161">INDEX('final-RA-to-framework-summary'!$C$4:$Z$26, MOD(ROW(A160)-1, 23)+1, INT((ROW(A160)-1)/23)+1)</f>
        <v>explicit</v>
      </c>
      <c r="E161" s="9" t="s">
        <v>263</v>
      </c>
      <c r="F161" s="10" t="s">
        <v>264</v>
      </c>
      <c r="G161" s="8"/>
      <c r="H161" s="8"/>
      <c r="I161" s="8"/>
      <c r="J161" s="8"/>
      <c r="K161" s="8"/>
      <c r="L161" s="8"/>
      <c r="M161" s="8"/>
      <c r="N161" s="8"/>
      <c r="O161" s="8"/>
      <c r="P161" s="8"/>
      <c r="Q161" s="8"/>
      <c r="R161" s="8"/>
      <c r="S161" s="8"/>
      <c r="T161" s="8"/>
      <c r="U161" s="8"/>
      <c r="V161" s="8"/>
      <c r="W161" s="8"/>
      <c r="X161" s="8"/>
      <c r="Y161" s="8"/>
      <c r="Z161" s="8"/>
    </row>
    <row r="162">
      <c r="A162" s="3" t="str">
        <f t="array" ref="A162">INDEX('final-RA-to-framework-summary'!$C$1:$T$1, 1, INT((ROW(A161)-1)/23)+1)</f>
        <v>F7</v>
      </c>
      <c r="B162" s="3" t="str">
        <f t="array" ref="B162">INDEX('final-RA-to-framework-summary'!$C$2:$T$2, 1, INT((ROW(B161)-1)/23)+1)</f>
        <v>DeepMind Lab</v>
      </c>
      <c r="C162" s="3" t="str">
        <f t="array" ref="C162">INDEX('final-RA-to-framework-summary'!$B$4:$B$26, MOD(ROW(A161)-1, 23)+1)</f>
        <v>Reporter</v>
      </c>
      <c r="D162" s="3" t="str">
        <f t="array" ref="D162">INDEX('final-RA-to-framework-summary'!$C$4:$Z$26, MOD(ROW(A161)-1, 23)+1, INT((ROW(A161)-1)/23)+1)</f>
        <v>not implemented</v>
      </c>
      <c r="E162" s="8"/>
      <c r="F162" s="8"/>
      <c r="G162" s="8"/>
      <c r="H162" s="8"/>
      <c r="I162" s="8"/>
      <c r="J162" s="8"/>
      <c r="K162" s="8"/>
      <c r="L162" s="8"/>
      <c r="M162" s="8"/>
      <c r="N162" s="8"/>
      <c r="O162" s="8"/>
      <c r="P162" s="8"/>
      <c r="Q162" s="8"/>
      <c r="R162" s="8"/>
      <c r="S162" s="8"/>
      <c r="T162" s="8"/>
      <c r="U162" s="8"/>
      <c r="V162" s="8"/>
      <c r="W162" s="8"/>
      <c r="X162" s="8"/>
      <c r="Y162" s="8"/>
      <c r="Z162" s="8"/>
    </row>
    <row r="163">
      <c r="A163" s="3" t="str">
        <f t="array" ref="A163">INDEX('final-RA-to-framework-summary'!$C$1:$T$1, 1, INT((ROW(A162)-1)/23)+1)</f>
        <v>F8</v>
      </c>
      <c r="B163" s="3" t="str">
        <f t="array" ref="B163">INDEX('final-RA-to-framework-summary'!$C$2:$T$2, 1, INT((ROW(B162)-1)/23)+1)</f>
        <v>Arcade Learning Environment</v>
      </c>
      <c r="C163" s="3" t="str">
        <f t="array" ref="C163">INDEX('final-RA-to-framework-summary'!$B$4:$B$26, MOD(ROW(A162)-1, 23)+1)</f>
        <v>Experiment Orchestrator</v>
      </c>
      <c r="D163" s="3" t="str">
        <f t="array" ref="D163">INDEX('final-RA-to-framework-summary'!$C$4:$Z$26, MOD(ROW(A162)-1, 23)+1, INT((ROW(A162)-1)/23)+1)</f>
        <v>not implemented</v>
      </c>
      <c r="E163" s="8"/>
      <c r="F163" s="8"/>
      <c r="G163" s="8"/>
      <c r="H163" s="8"/>
      <c r="I163" s="8"/>
      <c r="J163" s="8"/>
      <c r="K163" s="8"/>
      <c r="L163" s="8"/>
      <c r="M163" s="8"/>
      <c r="N163" s="8"/>
      <c r="O163" s="8"/>
      <c r="P163" s="8"/>
      <c r="Q163" s="8"/>
      <c r="R163" s="8"/>
      <c r="S163" s="8"/>
      <c r="T163" s="8"/>
      <c r="U163" s="8"/>
      <c r="V163" s="8"/>
      <c r="W163" s="8"/>
      <c r="X163" s="8"/>
      <c r="Y163" s="8"/>
      <c r="Z163" s="8"/>
    </row>
    <row r="164">
      <c r="A164" s="3" t="str">
        <f t="array" ref="A164">INDEX('final-RA-to-framework-summary'!$C$1:$T$1, 1, INT((ROW(A163)-1)/23)+1)</f>
        <v>F8</v>
      </c>
      <c r="B164" s="3" t="str">
        <f t="array" ref="B164">INDEX('final-RA-to-framework-summary'!$C$2:$T$2, 1, INT((ROW(B163)-1)/23)+1)</f>
        <v>Arcade Learning Environment</v>
      </c>
      <c r="C164" s="3" t="str">
        <f t="array" ref="C164">INDEX('final-RA-to-framework-summary'!$B$4:$B$26, MOD(ROW(A163)-1, 23)+1)</f>
        <v>Experiment Manager</v>
      </c>
      <c r="D164" s="3" t="str">
        <f t="array" ref="D164">INDEX('final-RA-to-framework-summary'!$C$4:$Z$26, MOD(ROW(A163)-1, 23)+1, INT((ROW(A163)-1)/23)+1)</f>
        <v>not implemented</v>
      </c>
      <c r="E164" s="8"/>
      <c r="F164" s="8"/>
      <c r="G164" s="8"/>
      <c r="H164" s="8"/>
      <c r="I164" s="8"/>
      <c r="J164" s="8"/>
      <c r="K164" s="8"/>
      <c r="L164" s="8"/>
      <c r="M164" s="8"/>
      <c r="N164" s="8"/>
      <c r="O164" s="8"/>
      <c r="P164" s="8"/>
      <c r="Q164" s="8"/>
      <c r="R164" s="8"/>
      <c r="S164" s="8"/>
      <c r="T164" s="8"/>
      <c r="U164" s="8"/>
      <c r="V164" s="8"/>
      <c r="W164" s="8"/>
      <c r="X164" s="8"/>
      <c r="Y164" s="8"/>
      <c r="Z164" s="8"/>
    </row>
    <row r="165">
      <c r="A165" s="3" t="str">
        <f t="array" ref="A165">INDEX('final-RA-to-framework-summary'!$C$1:$T$1, 1, INT((ROW(A164)-1)/23)+1)</f>
        <v>F8</v>
      </c>
      <c r="B165" s="3" t="str">
        <f t="array" ref="B165">INDEX('final-RA-to-framework-summary'!$C$2:$T$2, 1, INT((ROW(B164)-1)/23)+1)</f>
        <v>Arcade Learning Environment</v>
      </c>
      <c r="C165" s="3" t="str">
        <f t="array" ref="C165">INDEX('final-RA-to-framework-summary'!$B$4:$B$26, MOD(ROW(A164)-1, 23)+1)</f>
        <v>Hyperparameter Tuner</v>
      </c>
      <c r="D165" s="3" t="str">
        <f t="array" ref="D165">INDEX('final-RA-to-framework-summary'!$C$4:$Z$26, MOD(ROW(A164)-1, 23)+1, INT((ROW(A164)-1)/23)+1)</f>
        <v>not implemented</v>
      </c>
      <c r="E165" s="8"/>
      <c r="F165" s="8"/>
      <c r="G165" s="8"/>
      <c r="H165" s="8"/>
      <c r="I165" s="8"/>
      <c r="J165" s="8"/>
      <c r="K165" s="8"/>
      <c r="L165" s="8"/>
      <c r="M165" s="8"/>
      <c r="N165" s="8"/>
      <c r="O165" s="8"/>
      <c r="P165" s="8"/>
      <c r="Q165" s="8"/>
      <c r="R165" s="8"/>
      <c r="S165" s="8"/>
      <c r="T165" s="8"/>
      <c r="U165" s="8"/>
      <c r="V165" s="8"/>
      <c r="W165" s="8"/>
      <c r="X165" s="8"/>
      <c r="Y165" s="8"/>
      <c r="Z165" s="8"/>
    </row>
    <row r="166">
      <c r="A166" s="3" t="str">
        <f t="array" ref="A166">INDEX('final-RA-to-framework-summary'!$C$1:$T$1, 1, INT((ROW(A165)-1)/23)+1)</f>
        <v>F8</v>
      </c>
      <c r="B166" s="3" t="str">
        <f t="array" ref="B166">INDEX('final-RA-to-framework-summary'!$C$2:$T$2, 1, INT((ROW(B165)-1)/23)+1)</f>
        <v>Arcade Learning Environment</v>
      </c>
      <c r="C166" s="3" t="str">
        <f t="array" ref="C166">INDEX('final-RA-to-framework-summary'!$B$4:$B$26, MOD(ROW(A165)-1, 23)+1)</f>
        <v>Benchmark Manager</v>
      </c>
      <c r="D166" s="3" t="str">
        <f t="array" ref="D166">INDEX('final-RA-to-framework-summary'!$C$4:$Z$26, MOD(ROW(A165)-1, 23)+1, INT((ROW(A165)-1)/23)+1)</f>
        <v>not implemented</v>
      </c>
      <c r="E166" s="8"/>
      <c r="F166" s="8"/>
      <c r="G166" s="8"/>
      <c r="H166" s="8"/>
      <c r="I166" s="8"/>
      <c r="J166" s="8"/>
      <c r="K166" s="8"/>
      <c r="L166" s="8"/>
      <c r="M166" s="8"/>
      <c r="N166" s="8"/>
      <c r="O166" s="8"/>
      <c r="P166" s="8"/>
      <c r="Q166" s="8"/>
      <c r="R166" s="8"/>
      <c r="S166" s="8"/>
      <c r="T166" s="8"/>
      <c r="U166" s="8"/>
      <c r="V166" s="8"/>
      <c r="W166" s="8"/>
      <c r="X166" s="8"/>
      <c r="Y166" s="8"/>
      <c r="Z166" s="8"/>
    </row>
    <row r="167">
      <c r="A167" s="3" t="str">
        <f t="array" ref="A167">INDEX('final-RA-to-framework-summary'!$C$1:$T$1, 1, INT((ROW(A166)-1)/23)+1)</f>
        <v>F8</v>
      </c>
      <c r="B167" s="3" t="str">
        <f t="array" ref="B167">INDEX('final-RA-to-framework-summary'!$C$2:$T$2, 1, INT((ROW(B166)-1)/23)+1)</f>
        <v>Arcade Learning Environment</v>
      </c>
      <c r="C167" s="3" t="str">
        <f t="array" ref="C167">INDEX('final-RA-to-framework-summary'!$B$4:$B$26, MOD(ROW(A166)-1, 23)+1)</f>
        <v>Framework Orchestrator</v>
      </c>
      <c r="D167" s="3" t="str">
        <f t="array" ref="D167">INDEX('final-RA-to-framework-summary'!$C$4:$Z$26, MOD(ROW(A166)-1, 23)+1, INT((ROW(A166)-1)/23)+1)</f>
        <v>not implemented</v>
      </c>
      <c r="E167" s="8"/>
      <c r="F167" s="8"/>
      <c r="G167" s="8"/>
      <c r="H167" s="8"/>
      <c r="I167" s="8"/>
      <c r="J167" s="8"/>
      <c r="K167" s="8"/>
      <c r="L167" s="8"/>
      <c r="M167" s="8"/>
      <c r="N167" s="8"/>
      <c r="O167" s="8"/>
      <c r="P167" s="8"/>
      <c r="Q167" s="8"/>
      <c r="R167" s="8"/>
      <c r="S167" s="8"/>
      <c r="T167" s="8"/>
      <c r="U167" s="8"/>
      <c r="V167" s="8"/>
      <c r="W167" s="8"/>
      <c r="X167" s="8"/>
      <c r="Y167" s="8"/>
      <c r="Z167" s="8"/>
    </row>
    <row r="168">
      <c r="A168" s="3" t="str">
        <f t="array" ref="A168">INDEX('final-RA-to-framework-summary'!$C$1:$T$1, 1, INT((ROW(A167)-1)/23)+1)</f>
        <v>F8</v>
      </c>
      <c r="B168" s="3" t="str">
        <f t="array" ref="B168">INDEX('final-RA-to-framework-summary'!$C$2:$T$2, 1, INT((ROW(B167)-1)/23)+1)</f>
        <v>Arcade Learning Environment</v>
      </c>
      <c r="C168" s="3" t="str">
        <f t="array" ref="C168">INDEX('final-RA-to-framework-summary'!$B$4:$B$26, MOD(ROW(A167)-1, 23)+1)</f>
        <v>Lifecycle Manager</v>
      </c>
      <c r="D168" s="3" t="str">
        <f t="array" ref="D168">INDEX('final-RA-to-framework-summary'!$C$4:$Z$26, MOD(ROW(A167)-1, 23)+1, INT((ROW(A167)-1)/23)+1)</f>
        <v>not implemented</v>
      </c>
      <c r="E168" s="8"/>
      <c r="F168" s="8"/>
      <c r="G168" s="8"/>
      <c r="H168" s="8"/>
      <c r="I168" s="8"/>
      <c r="J168" s="8"/>
      <c r="K168" s="8"/>
      <c r="L168" s="8"/>
      <c r="M168" s="8"/>
      <c r="N168" s="8"/>
      <c r="O168" s="8"/>
      <c r="P168" s="8"/>
      <c r="Q168" s="8"/>
      <c r="R168" s="8"/>
      <c r="S168" s="8"/>
      <c r="T168" s="8"/>
      <c r="U168" s="8"/>
      <c r="V168" s="8"/>
      <c r="W168" s="8"/>
      <c r="X168" s="8"/>
      <c r="Y168" s="8"/>
      <c r="Z168" s="8"/>
    </row>
    <row r="169">
      <c r="A169" s="3" t="str">
        <f t="array" ref="A169">INDEX('final-RA-to-framework-summary'!$C$1:$T$1, 1, INT((ROW(A168)-1)/23)+1)</f>
        <v>F8</v>
      </c>
      <c r="B169" s="3" t="str">
        <f t="array" ref="B169">INDEX('final-RA-to-framework-summary'!$C$2:$T$2, 1, INT((ROW(B168)-1)/23)+1)</f>
        <v>Arcade Learning Environment</v>
      </c>
      <c r="C169" s="3" t="str">
        <f t="array" ref="C169">INDEX('final-RA-to-framework-summary'!$B$4:$B$26, MOD(ROW(A168)-1, 23)+1)</f>
        <v>Configuration Manager</v>
      </c>
      <c r="D169" s="3" t="str">
        <f t="array" ref="D169">INDEX('final-RA-to-framework-summary'!$C$4:$Z$26, MOD(ROW(A168)-1, 23)+1, INT((ROW(A168)-1)/23)+1)</f>
        <v>not implemented</v>
      </c>
      <c r="E169" s="8"/>
      <c r="F169" s="8"/>
      <c r="G169" s="8"/>
      <c r="H169" s="8"/>
      <c r="I169" s="8"/>
      <c r="J169" s="8"/>
      <c r="K169" s="8"/>
      <c r="L169" s="8"/>
      <c r="M169" s="8"/>
      <c r="N169" s="8"/>
      <c r="O169" s="8"/>
      <c r="P169" s="8"/>
      <c r="Q169" s="8"/>
      <c r="R169" s="8"/>
      <c r="S169" s="8"/>
      <c r="T169" s="8"/>
      <c r="U169" s="8"/>
      <c r="V169" s="8"/>
      <c r="W169" s="8"/>
      <c r="X169" s="8"/>
      <c r="Y169" s="8"/>
      <c r="Z169" s="8"/>
    </row>
    <row r="170">
      <c r="A170" s="3" t="str">
        <f t="array" ref="A170">INDEX('final-RA-to-framework-summary'!$C$1:$T$1, 1, INT((ROW(A169)-1)/23)+1)</f>
        <v>F8</v>
      </c>
      <c r="B170" s="3" t="str">
        <f t="array" ref="B170">INDEX('final-RA-to-framework-summary'!$C$2:$T$2, 1, INT((ROW(B169)-1)/23)+1)</f>
        <v>Arcade Learning Environment</v>
      </c>
      <c r="C170" s="3" t="str">
        <f t="array" ref="C170">INDEX('final-RA-to-framework-summary'!$B$4:$B$26, MOD(ROW(A169)-1, 23)+1)</f>
        <v>Multi-Agent Coordinator</v>
      </c>
      <c r="D170" s="3" t="str">
        <f t="array" ref="D170">INDEX('final-RA-to-framework-summary'!$C$4:$Z$26, MOD(ROW(A169)-1, 23)+1, INT((ROW(A169)-1)/23)+1)</f>
        <v>not implemented</v>
      </c>
      <c r="E170" s="8"/>
      <c r="F170" s="8"/>
      <c r="G170" s="8"/>
      <c r="H170" s="8"/>
      <c r="I170" s="8"/>
      <c r="J170" s="8"/>
      <c r="K170" s="8"/>
      <c r="L170" s="8"/>
      <c r="M170" s="8"/>
      <c r="N170" s="8"/>
      <c r="O170" s="8"/>
      <c r="P170" s="8"/>
      <c r="Q170" s="8"/>
      <c r="R170" s="8"/>
      <c r="S170" s="8"/>
      <c r="T170" s="8"/>
      <c r="U170" s="8"/>
      <c r="V170" s="8"/>
      <c r="W170" s="8"/>
      <c r="X170" s="8"/>
      <c r="Y170" s="8"/>
      <c r="Z170" s="8"/>
    </row>
    <row r="171">
      <c r="A171" s="3" t="str">
        <f t="array" ref="A171">INDEX('final-RA-to-framework-summary'!$C$1:$T$1, 1, INT((ROW(A170)-1)/23)+1)</f>
        <v>F8</v>
      </c>
      <c r="B171" s="3" t="str">
        <f t="array" ref="B171">INDEX('final-RA-to-framework-summary'!$C$2:$T$2, 1, INT((ROW(B170)-1)/23)+1)</f>
        <v>Arcade Learning Environment</v>
      </c>
      <c r="C171" s="3" t="str">
        <f t="array" ref="C171">INDEX('final-RA-to-framework-summary'!$B$4:$B$26, MOD(ROW(A170)-1, 23)+1)</f>
        <v>Distributed Execution 
Coordinator</v>
      </c>
      <c r="D171" s="3" t="str">
        <f t="array" ref="D171">INDEX('final-RA-to-framework-summary'!$C$4:$Z$26, MOD(ROW(A170)-1, 23)+1, INT((ROW(A170)-1)/23)+1)</f>
        <v>not implemented</v>
      </c>
      <c r="E171" s="8"/>
      <c r="F171" s="8"/>
      <c r="G171" s="8"/>
      <c r="H171" s="8"/>
      <c r="I171" s="8"/>
      <c r="J171" s="8"/>
      <c r="K171" s="8"/>
      <c r="L171" s="8"/>
      <c r="M171" s="8"/>
      <c r="N171" s="8"/>
      <c r="O171" s="8"/>
      <c r="P171" s="8"/>
      <c r="Q171" s="8"/>
      <c r="R171" s="8"/>
      <c r="S171" s="8"/>
      <c r="T171" s="8"/>
      <c r="U171" s="8"/>
      <c r="V171" s="8"/>
      <c r="W171" s="8"/>
      <c r="X171" s="8"/>
      <c r="Y171" s="8"/>
      <c r="Z171" s="8"/>
    </row>
    <row r="172">
      <c r="A172" s="3" t="str">
        <f t="array" ref="A172">INDEX('final-RA-to-framework-summary'!$C$1:$T$1, 1, INT((ROW(A171)-1)/23)+1)</f>
        <v>F8</v>
      </c>
      <c r="B172" s="3" t="str">
        <f t="array" ref="B172">INDEX('final-RA-to-framework-summary'!$C$2:$T$2, 1, INT((ROW(B171)-1)/23)+1)</f>
        <v>Arcade Learning Environment</v>
      </c>
      <c r="C172" s="3" t="str">
        <f t="array" ref="C172">INDEX('final-RA-to-framework-summary'!$B$4:$B$26, MOD(ROW(A171)-1, 23)+1)</f>
        <v>Agent</v>
      </c>
      <c r="D172" s="3" t="str">
        <f t="array" ref="D172">INDEX('final-RA-to-framework-summary'!$C$4:$Z$26, MOD(ROW(A171)-1, 23)+1, INT((ROW(A171)-1)/23)+1)</f>
        <v>not implemented</v>
      </c>
      <c r="E172" s="8"/>
      <c r="F172" s="8"/>
      <c r="G172" s="8"/>
      <c r="H172" s="8"/>
      <c r="I172" s="8"/>
      <c r="J172" s="8"/>
      <c r="K172" s="8"/>
      <c r="L172" s="8"/>
      <c r="M172" s="8"/>
      <c r="N172" s="8"/>
      <c r="O172" s="8"/>
      <c r="P172" s="8"/>
      <c r="Q172" s="8"/>
      <c r="R172" s="8"/>
      <c r="S172" s="8"/>
      <c r="T172" s="8"/>
      <c r="U172" s="8"/>
      <c r="V172" s="8"/>
      <c r="W172" s="8"/>
      <c r="X172" s="8"/>
      <c r="Y172" s="8"/>
      <c r="Z172" s="8"/>
    </row>
    <row r="173">
      <c r="A173" s="3" t="str">
        <f t="array" ref="A173">INDEX('final-RA-to-framework-summary'!$C$1:$T$1, 1, INT((ROW(A172)-1)/23)+1)</f>
        <v>F8</v>
      </c>
      <c r="B173" s="3" t="str">
        <f t="array" ref="B173">INDEX('final-RA-to-framework-summary'!$C$2:$T$2, 1, INT((ROW(B172)-1)/23)+1)</f>
        <v>Arcade Learning Environment</v>
      </c>
      <c r="C173" s="3" t="str">
        <f t="array" ref="C173">INDEX('final-RA-to-framework-summary'!$B$4:$B$26, MOD(ROW(A172)-1, 23)+1)</f>
        <v>Function Approximator</v>
      </c>
      <c r="D173" s="3" t="str">
        <f t="array" ref="D173">INDEX('final-RA-to-framework-summary'!$C$4:$Z$26, MOD(ROW(A172)-1, 23)+1, INT((ROW(A172)-1)/23)+1)</f>
        <v>not implemented</v>
      </c>
      <c r="E173" s="8"/>
      <c r="F173" s="8"/>
      <c r="G173" s="8"/>
      <c r="H173" s="8"/>
      <c r="I173" s="8"/>
      <c r="J173" s="8"/>
      <c r="K173" s="8"/>
      <c r="L173" s="8"/>
      <c r="M173" s="8"/>
      <c r="N173" s="8"/>
      <c r="O173" s="8"/>
      <c r="P173" s="8"/>
      <c r="Q173" s="8"/>
      <c r="R173" s="8"/>
      <c r="S173" s="8"/>
      <c r="T173" s="8"/>
      <c r="U173" s="8"/>
      <c r="V173" s="8"/>
      <c r="W173" s="8"/>
      <c r="X173" s="8"/>
      <c r="Y173" s="8"/>
      <c r="Z173" s="8"/>
    </row>
    <row r="174">
      <c r="A174" s="3" t="str">
        <f t="array" ref="A174">INDEX('final-RA-to-framework-summary'!$C$1:$T$1, 1, INT((ROW(A173)-1)/23)+1)</f>
        <v>F8</v>
      </c>
      <c r="B174" s="3" t="str">
        <f t="array" ref="B174">INDEX('final-RA-to-framework-summary'!$C$2:$T$2, 1, INT((ROW(B173)-1)/23)+1)</f>
        <v>Arcade Learning Environment</v>
      </c>
      <c r="C174" s="3" t="str">
        <f t="array" ref="C174">INDEX('final-RA-to-framework-summary'!$B$4:$B$26, MOD(ROW(A173)-1, 23)+1)</f>
        <v>Buffer</v>
      </c>
      <c r="D174" s="3" t="str">
        <f t="array" ref="D174">INDEX('final-RA-to-framework-summary'!$C$4:$Z$26, MOD(ROW(A173)-1, 23)+1, INT((ROW(A173)-1)/23)+1)</f>
        <v>not implemented</v>
      </c>
      <c r="E174" s="8"/>
      <c r="F174" s="8"/>
      <c r="G174" s="8"/>
      <c r="H174" s="8"/>
      <c r="I174" s="8"/>
      <c r="J174" s="8"/>
      <c r="K174" s="8"/>
      <c r="L174" s="8"/>
      <c r="M174" s="8"/>
      <c r="N174" s="8"/>
      <c r="O174" s="8"/>
      <c r="P174" s="8"/>
      <c r="Q174" s="8"/>
      <c r="R174" s="8"/>
      <c r="S174" s="8"/>
      <c r="T174" s="8"/>
      <c r="U174" s="8"/>
      <c r="V174" s="8"/>
      <c r="W174" s="8"/>
      <c r="X174" s="8"/>
      <c r="Y174" s="8"/>
      <c r="Z174" s="8"/>
    </row>
    <row r="175">
      <c r="A175" s="3" t="str">
        <f t="array" ref="A175">INDEX('final-RA-to-framework-summary'!$C$1:$T$1, 1, INT((ROW(A174)-1)/23)+1)</f>
        <v>F8</v>
      </c>
      <c r="B175" s="3" t="str">
        <f t="array" ref="B175">INDEX('final-RA-to-framework-summary'!$C$2:$T$2, 1, INT((ROW(B174)-1)/23)+1)</f>
        <v>Arcade Learning Environment</v>
      </c>
      <c r="C175" s="3" t="str">
        <f t="array" ref="C175">INDEX('final-RA-to-framework-summary'!$B$4:$B$26, MOD(ROW(A174)-1, 23)+1)</f>
        <v>Learner</v>
      </c>
      <c r="D175" s="3" t="str">
        <f t="array" ref="D175">INDEX('final-RA-to-framework-summary'!$C$4:$Z$26, MOD(ROW(A174)-1, 23)+1, INT((ROW(A174)-1)/23)+1)</f>
        <v>not implemented</v>
      </c>
      <c r="E175" s="8"/>
      <c r="F175" s="8"/>
      <c r="G175" s="8"/>
      <c r="H175" s="8"/>
      <c r="I175" s="8"/>
      <c r="J175" s="8"/>
      <c r="K175" s="8"/>
      <c r="L175" s="8"/>
      <c r="M175" s="8"/>
      <c r="N175" s="8"/>
      <c r="O175" s="8"/>
      <c r="P175" s="8"/>
      <c r="Q175" s="8"/>
      <c r="R175" s="8"/>
      <c r="S175" s="8"/>
      <c r="T175" s="8"/>
      <c r="U175" s="8"/>
      <c r="V175" s="8"/>
      <c r="W175" s="8"/>
      <c r="X175" s="8"/>
      <c r="Y175" s="8"/>
      <c r="Z175" s="8"/>
    </row>
    <row r="176">
      <c r="A176" s="3" t="str">
        <f t="array" ref="A176">INDEX('final-RA-to-framework-summary'!$C$1:$T$1, 1, INT((ROW(A175)-1)/23)+1)</f>
        <v>F8</v>
      </c>
      <c r="B176" s="3" t="str">
        <f t="array" ref="B176">INDEX('final-RA-to-framework-summary'!$C$2:$T$2, 1, INT((ROW(B175)-1)/23)+1)</f>
        <v>Arcade Learning Environment</v>
      </c>
      <c r="C176" s="3" t="str">
        <f t="array" ref="C176">INDEX('final-RA-to-framework-summary'!$B$4:$B$26, MOD(ROW(A175)-1, 23)+1)</f>
        <v>Environment</v>
      </c>
      <c r="D176" s="3" t="str">
        <f t="array" ref="D176">INDEX('final-RA-to-framework-summary'!$C$4:$Z$26, MOD(ROW(A175)-1, 23)+1, INT((ROW(A175)-1)/23)+1)</f>
        <v>explicit</v>
      </c>
      <c r="E176" s="13" t="s">
        <v>265</v>
      </c>
      <c r="F176" s="3" t="s">
        <v>266</v>
      </c>
      <c r="G176" s="1"/>
      <c r="H176" s="8"/>
      <c r="I176" s="8"/>
      <c r="J176" s="8"/>
      <c r="K176" s="8"/>
      <c r="L176" s="8"/>
      <c r="M176" s="8"/>
      <c r="N176" s="8"/>
      <c r="O176" s="8"/>
      <c r="P176" s="8"/>
      <c r="Q176" s="8"/>
      <c r="R176" s="8"/>
      <c r="S176" s="8"/>
      <c r="T176" s="8"/>
      <c r="U176" s="8"/>
      <c r="V176" s="8"/>
      <c r="W176" s="8"/>
      <c r="X176" s="8"/>
      <c r="Y176" s="8"/>
      <c r="Z176" s="8"/>
    </row>
    <row r="177">
      <c r="A177" s="3" t="str">
        <f t="array" ref="A177">INDEX('final-RA-to-framework-summary'!$C$1:$T$1, 1, INT((ROW(A176)-1)/23)+1)</f>
        <v>F8</v>
      </c>
      <c r="B177" s="3" t="str">
        <f t="array" ref="B177">INDEX('final-RA-to-framework-summary'!$C$2:$T$2, 1, INT((ROW(B176)-1)/23)+1)</f>
        <v>Arcade Learning Environment</v>
      </c>
      <c r="C177" s="3" t="str">
        <f t="array" ref="C177">INDEX('final-RA-to-framework-summary'!$B$4:$B$26, MOD(ROW(A176)-1, 23)+1)</f>
        <v>Environment Core</v>
      </c>
      <c r="D177" s="3" t="str">
        <f t="array" ref="D177">INDEX('final-RA-to-framework-summary'!$C$4:$Z$26, MOD(ROW(A176)-1, 23)+1, INT((ROW(A176)-1)/23)+1)</f>
        <v>explicit</v>
      </c>
      <c r="E177" s="13" t="s">
        <v>267</v>
      </c>
      <c r="F177" s="3" t="s">
        <v>266</v>
      </c>
      <c r="G177" s="3" t="s">
        <v>268</v>
      </c>
      <c r="H177" s="8"/>
      <c r="I177" s="8"/>
      <c r="J177" s="8"/>
      <c r="K177" s="8"/>
      <c r="L177" s="8"/>
      <c r="M177" s="8"/>
      <c r="N177" s="8"/>
      <c r="O177" s="8"/>
      <c r="P177" s="8"/>
      <c r="Q177" s="8"/>
      <c r="R177" s="8"/>
      <c r="S177" s="8"/>
      <c r="T177" s="8"/>
      <c r="U177" s="8"/>
      <c r="V177" s="8"/>
      <c r="W177" s="8"/>
      <c r="X177" s="8"/>
      <c r="Y177" s="8"/>
      <c r="Z177" s="8"/>
    </row>
    <row r="178">
      <c r="A178" s="3" t="str">
        <f t="array" ref="A178">INDEX('final-RA-to-framework-summary'!$C$1:$T$1, 1, INT((ROW(A177)-1)/23)+1)</f>
        <v>F8</v>
      </c>
      <c r="B178" s="3" t="str">
        <f t="array" ref="B178">INDEX('final-RA-to-framework-summary'!$C$2:$T$2, 1, INT((ROW(B177)-1)/23)+1)</f>
        <v>Arcade Learning Environment</v>
      </c>
      <c r="C178" s="3" t="str">
        <f t="array" ref="C178">INDEX('final-RA-to-framework-summary'!$B$4:$B$26, MOD(ROW(A177)-1, 23)+1)</f>
        <v>Simulator</v>
      </c>
      <c r="D178" s="3" t="str">
        <f t="array" ref="D178">INDEX('final-RA-to-framework-summary'!$C$4:$Z$26, MOD(ROW(A177)-1, 23)+1, INT((ROW(A177)-1)/23)+1)</f>
        <v>external</v>
      </c>
      <c r="E178" s="13" t="s">
        <v>269</v>
      </c>
      <c r="F178" s="3" t="s">
        <v>270</v>
      </c>
      <c r="G178" s="3" t="s">
        <v>271</v>
      </c>
      <c r="H178" s="10" t="s">
        <v>271</v>
      </c>
      <c r="I178" s="8"/>
      <c r="J178" s="8"/>
      <c r="K178" s="8"/>
      <c r="L178" s="8"/>
      <c r="M178" s="8"/>
      <c r="N178" s="8"/>
      <c r="O178" s="8"/>
      <c r="P178" s="8"/>
      <c r="Q178" s="8"/>
      <c r="R178" s="8"/>
      <c r="S178" s="8"/>
      <c r="T178" s="8"/>
      <c r="U178" s="8"/>
      <c r="V178" s="8"/>
      <c r="W178" s="8"/>
      <c r="X178" s="8"/>
      <c r="Y178" s="8"/>
      <c r="Z178" s="8"/>
    </row>
    <row r="179">
      <c r="A179" s="3" t="str">
        <f t="array" ref="A179">INDEX('final-RA-to-framework-summary'!$C$1:$T$1, 1, INT((ROW(A178)-1)/23)+1)</f>
        <v>F8</v>
      </c>
      <c r="B179" s="3" t="str">
        <f t="array" ref="B179">INDEX('final-RA-to-framework-summary'!$C$2:$T$2, 1, INT((ROW(B178)-1)/23)+1)</f>
        <v>Arcade Learning Environment</v>
      </c>
      <c r="C179" s="3" t="str">
        <f t="array" ref="C179">INDEX('final-RA-to-framework-summary'!$B$4:$B$26, MOD(ROW(A178)-1, 23)+1)</f>
        <v>Simulator Adapter</v>
      </c>
      <c r="D179" s="3" t="str">
        <f t="array" ref="D179">INDEX('final-RA-to-framework-summary'!$C$4:$Z$26, MOD(ROW(A178)-1, 23)+1, INT((ROW(A178)-1)/23)+1)</f>
        <v>implicit</v>
      </c>
      <c r="E179" s="15" t="s">
        <v>272</v>
      </c>
      <c r="F179" s="3" t="s">
        <v>273</v>
      </c>
      <c r="G179" s="3" t="s">
        <v>274</v>
      </c>
      <c r="H179" s="8"/>
      <c r="I179" s="8"/>
      <c r="J179" s="8"/>
      <c r="K179" s="8"/>
      <c r="L179" s="8"/>
      <c r="M179" s="8"/>
      <c r="N179" s="8"/>
      <c r="O179" s="8"/>
      <c r="P179" s="8"/>
      <c r="Q179" s="8"/>
      <c r="R179" s="8"/>
      <c r="S179" s="8"/>
      <c r="T179" s="8"/>
      <c r="U179" s="8"/>
      <c r="V179" s="8"/>
      <c r="W179" s="8"/>
      <c r="X179" s="8"/>
      <c r="Y179" s="8"/>
      <c r="Z179" s="8"/>
    </row>
    <row r="180">
      <c r="A180" s="3" t="str">
        <f t="array" ref="A180">INDEX('final-RA-to-framework-summary'!$C$1:$T$1, 1, INT((ROW(A179)-1)/23)+1)</f>
        <v>F8</v>
      </c>
      <c r="B180" s="3" t="str">
        <f t="array" ref="B180">INDEX('final-RA-to-framework-summary'!$C$2:$T$2, 1, INT((ROW(B179)-1)/23)+1)</f>
        <v>Arcade Learning Environment</v>
      </c>
      <c r="C180" s="3" t="str">
        <f t="array" ref="C180">INDEX('final-RA-to-framework-summary'!$B$4:$B$26, MOD(ROW(A179)-1, 23)+1)</f>
        <v>Checkpoint Manager</v>
      </c>
      <c r="D180" s="3" t="str">
        <f t="array" ref="D180">INDEX('final-RA-to-framework-summary'!$C$4:$Z$26, MOD(ROW(A179)-1, 23)+1, INT((ROW(A179)-1)/23)+1)</f>
        <v>not implemented</v>
      </c>
      <c r="E180" s="8"/>
      <c r="F180" s="8"/>
      <c r="G180" s="8"/>
      <c r="H180" s="8"/>
      <c r="I180" s="8"/>
      <c r="J180" s="8"/>
      <c r="K180" s="8"/>
      <c r="L180" s="8"/>
      <c r="M180" s="8"/>
      <c r="N180" s="8"/>
      <c r="O180" s="8"/>
      <c r="P180" s="8"/>
      <c r="Q180" s="8"/>
      <c r="R180" s="8"/>
      <c r="S180" s="8"/>
      <c r="T180" s="8"/>
      <c r="U180" s="8"/>
      <c r="V180" s="8"/>
      <c r="W180" s="8"/>
      <c r="X180" s="8"/>
      <c r="Y180" s="8"/>
      <c r="Z180" s="8"/>
    </row>
    <row r="181">
      <c r="A181" s="3" t="str">
        <f t="array" ref="A181">INDEX('final-RA-to-framework-summary'!$C$1:$T$1, 1, INT((ROW(A180)-1)/23)+1)</f>
        <v>F8</v>
      </c>
      <c r="B181" s="3" t="str">
        <f t="array" ref="B181">INDEX('final-RA-to-framework-summary'!$C$2:$T$2, 1, INT((ROW(B180)-1)/23)+1)</f>
        <v>Arcade Learning Environment</v>
      </c>
      <c r="C181" s="3" t="str">
        <f t="array" ref="C181">INDEX('final-RA-to-framework-summary'!$B$4:$B$26, MOD(ROW(A180)-1, 23)+1)</f>
        <v>Environment Parameter 
Manager</v>
      </c>
      <c r="D181" s="3" t="str">
        <f t="array" ref="D181">INDEX('final-RA-to-framework-summary'!$C$4:$Z$26, MOD(ROW(A180)-1, 23)+1, INT((ROW(A180)-1)/23)+1)</f>
        <v>implicit</v>
      </c>
      <c r="E181" s="9" t="s">
        <v>275</v>
      </c>
      <c r="F181" s="10" t="s">
        <v>276</v>
      </c>
      <c r="G181" s="10" t="s">
        <v>277</v>
      </c>
      <c r="H181" s="8"/>
      <c r="I181" s="8"/>
      <c r="J181" s="8"/>
      <c r="K181" s="8"/>
      <c r="L181" s="8"/>
      <c r="M181" s="8"/>
      <c r="N181" s="8"/>
      <c r="O181" s="8"/>
      <c r="P181" s="8"/>
      <c r="Q181" s="8"/>
      <c r="R181" s="8"/>
      <c r="S181" s="8"/>
      <c r="T181" s="8"/>
      <c r="U181" s="8"/>
      <c r="V181" s="8"/>
      <c r="W181" s="8"/>
      <c r="X181" s="8"/>
      <c r="Y181" s="8"/>
      <c r="Z181" s="8"/>
    </row>
    <row r="182">
      <c r="A182" s="3" t="str">
        <f t="array" ref="A182">INDEX('final-RA-to-framework-summary'!$C$1:$T$1, 1, INT((ROW(A181)-1)/23)+1)</f>
        <v>F8</v>
      </c>
      <c r="B182" s="3" t="str">
        <f t="array" ref="B182">INDEX('final-RA-to-framework-summary'!$C$2:$T$2, 1, INT((ROW(B181)-1)/23)+1)</f>
        <v>Arcade Learning Environment</v>
      </c>
      <c r="C182" s="3" t="str">
        <f t="array" ref="C182">INDEX('final-RA-to-framework-summary'!$B$4:$B$26, MOD(ROW(A181)-1, 23)+1)</f>
        <v>Renderer</v>
      </c>
      <c r="D182" s="3" t="str">
        <f t="array" ref="D182">INDEX('final-RA-to-framework-summary'!$C$4:$Z$26, MOD(ROW(A181)-1, 23)+1, INT((ROW(A181)-1)/23)+1)</f>
        <v>implicit</v>
      </c>
      <c r="E182" s="9" t="s">
        <v>278</v>
      </c>
      <c r="F182" s="10" t="s">
        <v>279</v>
      </c>
      <c r="G182" s="8"/>
      <c r="H182" s="8"/>
      <c r="I182" s="8"/>
      <c r="J182" s="8"/>
      <c r="K182" s="8"/>
      <c r="L182" s="8"/>
      <c r="M182" s="8"/>
      <c r="N182" s="8"/>
      <c r="O182" s="8"/>
      <c r="P182" s="8"/>
      <c r="Q182" s="8"/>
      <c r="R182" s="8"/>
      <c r="S182" s="8"/>
      <c r="T182" s="8"/>
      <c r="U182" s="8"/>
      <c r="V182" s="8"/>
      <c r="W182" s="8"/>
      <c r="X182" s="8"/>
      <c r="Y182" s="8"/>
      <c r="Z182" s="8"/>
    </row>
    <row r="183">
      <c r="A183" s="3" t="str">
        <f t="array" ref="A183">INDEX('final-RA-to-framework-summary'!$C$1:$T$1, 1, INT((ROW(A182)-1)/23)+1)</f>
        <v>F8</v>
      </c>
      <c r="B183" s="3" t="str">
        <f t="array" ref="B183">INDEX('final-RA-to-framework-summary'!$C$2:$T$2, 1, INT((ROW(B182)-1)/23)+1)</f>
        <v>Arcade Learning Environment</v>
      </c>
      <c r="C183" s="3" t="str">
        <f t="array" ref="C183">INDEX('final-RA-to-framework-summary'!$B$4:$B$26, MOD(ROW(A182)-1, 23)+1)</f>
        <v>Recorder</v>
      </c>
      <c r="D183" s="3" t="str">
        <f t="array" ref="D183">INDEX('final-RA-to-framework-summary'!$C$4:$Z$26, MOD(ROW(A182)-1, 23)+1, INT((ROW(A182)-1)/23)+1)</f>
        <v>explicit</v>
      </c>
      <c r="E183" s="9" t="s">
        <v>280</v>
      </c>
      <c r="F183" s="10" t="s">
        <v>281</v>
      </c>
      <c r="G183" s="8"/>
      <c r="H183" s="8"/>
      <c r="I183" s="8"/>
      <c r="J183" s="8"/>
      <c r="K183" s="8"/>
      <c r="L183" s="8"/>
      <c r="M183" s="8"/>
      <c r="N183" s="8"/>
      <c r="O183" s="8"/>
      <c r="P183" s="8"/>
      <c r="Q183" s="8"/>
      <c r="R183" s="8"/>
      <c r="S183" s="8"/>
      <c r="T183" s="8"/>
      <c r="U183" s="8"/>
      <c r="V183" s="8"/>
      <c r="W183" s="8"/>
      <c r="X183" s="8"/>
      <c r="Y183" s="8"/>
      <c r="Z183" s="8"/>
    </row>
    <row r="184">
      <c r="A184" s="3" t="str">
        <f t="array" ref="A184">INDEX('final-RA-to-framework-summary'!$C$1:$T$1, 1, INT((ROW(A183)-1)/23)+1)</f>
        <v>F8</v>
      </c>
      <c r="B184" s="3" t="str">
        <f t="array" ref="B184">INDEX('final-RA-to-framework-summary'!$C$2:$T$2, 1, INT((ROW(B183)-1)/23)+1)</f>
        <v>Arcade Learning Environment</v>
      </c>
      <c r="C184" s="3" t="str">
        <f t="array" ref="C184">INDEX('final-RA-to-framework-summary'!$B$4:$B$26, MOD(ROW(A183)-1, 23)+1)</f>
        <v>Logger</v>
      </c>
      <c r="D184" s="3" t="str">
        <f t="array" ref="D184">INDEX('final-RA-to-framework-summary'!$C$4:$Z$26, MOD(ROW(A183)-1, 23)+1, INT((ROW(A183)-1)/23)+1)</f>
        <v>explicit</v>
      </c>
      <c r="E184" s="14" t="s">
        <v>282</v>
      </c>
      <c r="F184" s="10" t="s">
        <v>283</v>
      </c>
      <c r="G184" s="8"/>
      <c r="H184" s="8"/>
      <c r="I184" s="8"/>
      <c r="J184" s="8"/>
      <c r="K184" s="8"/>
      <c r="L184" s="8"/>
      <c r="M184" s="8"/>
      <c r="N184" s="8"/>
      <c r="O184" s="8"/>
      <c r="P184" s="8"/>
      <c r="Q184" s="8"/>
      <c r="R184" s="8"/>
      <c r="S184" s="8"/>
      <c r="T184" s="8"/>
      <c r="U184" s="8"/>
      <c r="V184" s="8"/>
      <c r="W184" s="8"/>
      <c r="X184" s="8"/>
      <c r="Y184" s="8"/>
      <c r="Z184" s="8"/>
    </row>
    <row r="185">
      <c r="A185" s="3" t="str">
        <f t="array" ref="A185">INDEX('final-RA-to-framework-summary'!$C$1:$T$1, 1, INT((ROW(A184)-1)/23)+1)</f>
        <v>F8</v>
      </c>
      <c r="B185" s="3" t="str">
        <f t="array" ref="B185">INDEX('final-RA-to-framework-summary'!$C$2:$T$2, 1, INT((ROW(B184)-1)/23)+1)</f>
        <v>Arcade Learning Environment</v>
      </c>
      <c r="C185" s="3" t="str">
        <f t="array" ref="C185">INDEX('final-RA-to-framework-summary'!$B$4:$B$26, MOD(ROW(A184)-1, 23)+1)</f>
        <v>Reporter</v>
      </c>
      <c r="D185" s="3" t="str">
        <f t="array" ref="D185">INDEX('final-RA-to-framework-summary'!$C$4:$Z$26, MOD(ROW(A184)-1, 23)+1, INT((ROW(A184)-1)/23)+1)</f>
        <v>not implemented</v>
      </c>
      <c r="E185" s="8"/>
      <c r="F185" s="8"/>
      <c r="G185" s="8"/>
      <c r="H185" s="8"/>
      <c r="I185" s="8"/>
      <c r="J185" s="8"/>
      <c r="K185" s="8"/>
      <c r="L185" s="8"/>
      <c r="M185" s="8"/>
      <c r="N185" s="8"/>
      <c r="O185" s="8"/>
      <c r="P185" s="8"/>
      <c r="Q185" s="8"/>
      <c r="R185" s="8"/>
      <c r="S185" s="8"/>
      <c r="T185" s="8"/>
      <c r="U185" s="8"/>
      <c r="V185" s="8"/>
      <c r="W185" s="8"/>
      <c r="X185" s="8"/>
      <c r="Y185" s="8"/>
      <c r="Z185" s="8"/>
    </row>
    <row r="186">
      <c r="A186" s="3" t="str">
        <f t="array" ref="A186">INDEX('final-RA-to-framework-summary'!$C$1:$T$1, 1, INT((ROW(A185)-1)/23)+1)</f>
        <v>F9</v>
      </c>
      <c r="B186" s="3" t="str">
        <f t="array" ref="B186">INDEX('final-RA-to-framework-summary'!$C$2:$T$2, 1, INT((ROW(B185)-1)/23)+1)</f>
        <v>Jumanji</v>
      </c>
      <c r="C186" s="3" t="str">
        <f t="array" ref="C186">INDEX('final-RA-to-framework-summary'!$B$4:$B$26, MOD(ROW(A185)-1, 23)+1)</f>
        <v>Experiment Orchestrator</v>
      </c>
      <c r="D186" s="3" t="str">
        <f t="array" ref="D186">INDEX('final-RA-to-framework-summary'!$C$4:$Z$26, MOD(ROW(A185)-1, 23)+1, INT((ROW(A185)-1)/23)+1)</f>
        <v>not implemented</v>
      </c>
      <c r="E186" s="8"/>
      <c r="F186" s="8"/>
      <c r="G186" s="8"/>
      <c r="H186" s="8"/>
      <c r="I186" s="8"/>
      <c r="J186" s="8"/>
      <c r="K186" s="8"/>
      <c r="L186" s="8"/>
      <c r="M186" s="8"/>
      <c r="N186" s="8"/>
      <c r="O186" s="8"/>
      <c r="P186" s="8"/>
      <c r="Q186" s="8"/>
      <c r="R186" s="8"/>
      <c r="S186" s="8"/>
      <c r="T186" s="8"/>
      <c r="U186" s="8"/>
      <c r="V186" s="8"/>
      <c r="W186" s="8"/>
      <c r="X186" s="8"/>
      <c r="Y186" s="8"/>
      <c r="Z186" s="8"/>
    </row>
    <row r="187">
      <c r="A187" s="3" t="str">
        <f t="array" ref="A187">INDEX('final-RA-to-framework-summary'!$C$1:$T$1, 1, INT((ROW(A186)-1)/23)+1)</f>
        <v>F9</v>
      </c>
      <c r="B187" s="3" t="str">
        <f t="array" ref="B187">INDEX('final-RA-to-framework-summary'!$C$2:$T$2, 1, INT((ROW(B186)-1)/23)+1)</f>
        <v>Jumanji</v>
      </c>
      <c r="C187" s="3" t="str">
        <f t="array" ref="C187">INDEX('final-RA-to-framework-summary'!$B$4:$B$26, MOD(ROW(A186)-1, 23)+1)</f>
        <v>Experiment Manager</v>
      </c>
      <c r="D187" s="3" t="str">
        <f t="array" ref="D187">INDEX('final-RA-to-framework-summary'!$C$4:$Z$26, MOD(ROW(A186)-1, 23)+1, INT((ROW(A186)-1)/23)+1)</f>
        <v>not implemented</v>
      </c>
      <c r="E187" s="8"/>
      <c r="F187" s="8"/>
      <c r="G187" s="8"/>
      <c r="H187" s="8"/>
      <c r="I187" s="8"/>
      <c r="J187" s="8"/>
      <c r="K187" s="8"/>
      <c r="L187" s="8"/>
      <c r="M187" s="8"/>
      <c r="N187" s="8"/>
      <c r="O187" s="8"/>
      <c r="P187" s="8"/>
      <c r="Q187" s="8"/>
      <c r="R187" s="8"/>
      <c r="S187" s="8"/>
      <c r="T187" s="8"/>
      <c r="U187" s="8"/>
      <c r="V187" s="8"/>
      <c r="W187" s="8"/>
      <c r="X187" s="8"/>
      <c r="Y187" s="8"/>
      <c r="Z187" s="8"/>
    </row>
    <row r="188">
      <c r="A188" s="3" t="str">
        <f t="array" ref="A188">INDEX('final-RA-to-framework-summary'!$C$1:$T$1, 1, INT((ROW(A187)-1)/23)+1)</f>
        <v>F9</v>
      </c>
      <c r="B188" s="3" t="str">
        <f t="array" ref="B188">INDEX('final-RA-to-framework-summary'!$C$2:$T$2, 1, INT((ROW(B187)-1)/23)+1)</f>
        <v>Jumanji</v>
      </c>
      <c r="C188" s="3" t="str">
        <f t="array" ref="C188">INDEX('final-RA-to-framework-summary'!$B$4:$B$26, MOD(ROW(A187)-1, 23)+1)</f>
        <v>Hyperparameter Tuner</v>
      </c>
      <c r="D188" s="3" t="str">
        <f t="array" ref="D188">INDEX('final-RA-to-framework-summary'!$C$4:$Z$26, MOD(ROW(A187)-1, 23)+1, INT((ROW(A187)-1)/23)+1)</f>
        <v>not implemented</v>
      </c>
      <c r="E188" s="8"/>
      <c r="F188" s="8"/>
      <c r="G188" s="8"/>
      <c r="H188" s="8"/>
      <c r="I188" s="8"/>
      <c r="J188" s="8"/>
      <c r="K188" s="8"/>
      <c r="L188" s="8"/>
      <c r="M188" s="8"/>
      <c r="N188" s="8"/>
      <c r="O188" s="8"/>
      <c r="P188" s="8"/>
      <c r="Q188" s="8"/>
      <c r="R188" s="8"/>
      <c r="S188" s="8"/>
      <c r="T188" s="8"/>
      <c r="U188" s="8"/>
      <c r="V188" s="8"/>
      <c r="W188" s="8"/>
      <c r="X188" s="8"/>
      <c r="Y188" s="8"/>
      <c r="Z188" s="8"/>
    </row>
    <row r="189">
      <c r="A189" s="3" t="str">
        <f t="array" ref="A189">INDEX('final-RA-to-framework-summary'!$C$1:$T$1, 1, INT((ROW(A188)-1)/23)+1)</f>
        <v>F9</v>
      </c>
      <c r="B189" s="3" t="str">
        <f t="array" ref="B189">INDEX('final-RA-to-framework-summary'!$C$2:$T$2, 1, INT((ROW(B188)-1)/23)+1)</f>
        <v>Jumanji</v>
      </c>
      <c r="C189" s="3" t="str">
        <f t="array" ref="C189">INDEX('final-RA-to-framework-summary'!$B$4:$B$26, MOD(ROW(A188)-1, 23)+1)</f>
        <v>Benchmark Manager</v>
      </c>
      <c r="D189" s="3" t="str">
        <f t="array" ref="D189">INDEX('final-RA-to-framework-summary'!$C$4:$Z$26, MOD(ROW(A188)-1, 23)+1, INT((ROW(A188)-1)/23)+1)</f>
        <v>not implemented</v>
      </c>
      <c r="E189" s="8"/>
      <c r="F189" s="8"/>
      <c r="G189" s="8"/>
      <c r="H189" s="8"/>
      <c r="I189" s="8"/>
      <c r="J189" s="8"/>
      <c r="K189" s="8"/>
      <c r="L189" s="8"/>
      <c r="M189" s="8"/>
      <c r="N189" s="8"/>
      <c r="O189" s="8"/>
      <c r="P189" s="8"/>
      <c r="Q189" s="8"/>
      <c r="R189" s="8"/>
      <c r="S189" s="8"/>
      <c r="T189" s="8"/>
      <c r="U189" s="8"/>
      <c r="V189" s="8"/>
      <c r="W189" s="8"/>
      <c r="X189" s="8"/>
      <c r="Y189" s="8"/>
      <c r="Z189" s="8"/>
    </row>
    <row r="190">
      <c r="A190" s="3" t="str">
        <f t="array" ref="A190">INDEX('final-RA-to-framework-summary'!$C$1:$T$1, 1, INT((ROW(A189)-1)/23)+1)</f>
        <v>F9</v>
      </c>
      <c r="B190" s="3" t="str">
        <f t="array" ref="B190">INDEX('final-RA-to-framework-summary'!$C$2:$T$2, 1, INT((ROW(B189)-1)/23)+1)</f>
        <v>Jumanji</v>
      </c>
      <c r="C190" s="3" t="str">
        <f t="array" ref="C190">INDEX('final-RA-to-framework-summary'!$B$4:$B$26, MOD(ROW(A189)-1, 23)+1)</f>
        <v>Framework Orchestrator</v>
      </c>
      <c r="D190" s="3" t="str">
        <f t="array" ref="D190">INDEX('final-RA-to-framework-summary'!$C$4:$Z$26, MOD(ROW(A189)-1, 23)+1, INT((ROW(A189)-1)/23)+1)</f>
        <v>not implemented</v>
      </c>
      <c r="E190" s="8"/>
      <c r="F190" s="8"/>
      <c r="G190" s="8"/>
      <c r="H190" s="8"/>
      <c r="I190" s="8"/>
      <c r="J190" s="8"/>
      <c r="K190" s="8"/>
      <c r="L190" s="8"/>
      <c r="M190" s="8"/>
      <c r="N190" s="8"/>
      <c r="O190" s="8"/>
      <c r="P190" s="8"/>
      <c r="Q190" s="8"/>
      <c r="R190" s="8"/>
      <c r="S190" s="8"/>
      <c r="T190" s="8"/>
      <c r="U190" s="8"/>
      <c r="V190" s="8"/>
      <c r="W190" s="8"/>
      <c r="X190" s="8"/>
      <c r="Y190" s="8"/>
      <c r="Z190" s="8"/>
    </row>
    <row r="191">
      <c r="A191" s="3" t="str">
        <f t="array" ref="A191">INDEX('final-RA-to-framework-summary'!$C$1:$T$1, 1, INT((ROW(A190)-1)/23)+1)</f>
        <v>F9</v>
      </c>
      <c r="B191" s="3" t="str">
        <f t="array" ref="B191">INDEX('final-RA-to-framework-summary'!$C$2:$T$2, 1, INT((ROW(B190)-1)/23)+1)</f>
        <v>Jumanji</v>
      </c>
      <c r="C191" s="3" t="str">
        <f t="array" ref="C191">INDEX('final-RA-to-framework-summary'!$B$4:$B$26, MOD(ROW(A190)-1, 23)+1)</f>
        <v>Lifecycle Manager</v>
      </c>
      <c r="D191" s="3" t="str">
        <f t="array" ref="D191">INDEX('final-RA-to-framework-summary'!$C$4:$Z$26, MOD(ROW(A190)-1, 23)+1, INT((ROW(A190)-1)/23)+1)</f>
        <v>not implemented</v>
      </c>
      <c r="E191" s="8"/>
      <c r="F191" s="8"/>
      <c r="G191" s="8"/>
      <c r="H191" s="8"/>
      <c r="I191" s="8"/>
      <c r="J191" s="8"/>
      <c r="K191" s="8"/>
      <c r="L191" s="8"/>
      <c r="M191" s="8"/>
      <c r="N191" s="8"/>
      <c r="O191" s="8"/>
      <c r="P191" s="8"/>
      <c r="Q191" s="8"/>
      <c r="R191" s="8"/>
      <c r="S191" s="8"/>
      <c r="T191" s="8"/>
      <c r="U191" s="8"/>
      <c r="V191" s="8"/>
      <c r="W191" s="8"/>
      <c r="X191" s="8"/>
      <c r="Y191" s="8"/>
      <c r="Z191" s="8"/>
    </row>
    <row r="192">
      <c r="A192" s="3" t="str">
        <f t="array" ref="A192">INDEX('final-RA-to-framework-summary'!$C$1:$T$1, 1, INT((ROW(A191)-1)/23)+1)</f>
        <v>F9</v>
      </c>
      <c r="B192" s="3" t="str">
        <f t="array" ref="B192">INDEX('final-RA-to-framework-summary'!$C$2:$T$2, 1, INT((ROW(B191)-1)/23)+1)</f>
        <v>Jumanji</v>
      </c>
      <c r="C192" s="3" t="str">
        <f t="array" ref="C192">INDEX('final-RA-to-framework-summary'!$B$4:$B$26, MOD(ROW(A191)-1, 23)+1)</f>
        <v>Configuration Manager</v>
      </c>
      <c r="D192" s="3" t="str">
        <f t="array" ref="D192">INDEX('final-RA-to-framework-summary'!$C$4:$Z$26, MOD(ROW(A191)-1, 23)+1, INT((ROW(A191)-1)/23)+1)</f>
        <v>not implemented</v>
      </c>
      <c r="E192" s="8"/>
      <c r="F192" s="8"/>
      <c r="G192" s="8"/>
      <c r="H192" s="8"/>
      <c r="I192" s="8"/>
      <c r="J192" s="8"/>
      <c r="K192" s="8"/>
      <c r="L192" s="8"/>
      <c r="M192" s="8"/>
      <c r="N192" s="8"/>
      <c r="O192" s="8"/>
      <c r="P192" s="8"/>
      <c r="Q192" s="8"/>
      <c r="R192" s="8"/>
      <c r="S192" s="8"/>
      <c r="T192" s="8"/>
      <c r="U192" s="8"/>
      <c r="V192" s="8"/>
      <c r="W192" s="8"/>
      <c r="X192" s="8"/>
      <c r="Y192" s="8"/>
      <c r="Z192" s="8"/>
    </row>
    <row r="193">
      <c r="A193" s="3" t="str">
        <f t="array" ref="A193">INDEX('final-RA-to-framework-summary'!$C$1:$T$1, 1, INT((ROW(A192)-1)/23)+1)</f>
        <v>F9</v>
      </c>
      <c r="B193" s="3" t="str">
        <f t="array" ref="B193">INDEX('final-RA-to-framework-summary'!$C$2:$T$2, 1, INT((ROW(B192)-1)/23)+1)</f>
        <v>Jumanji</v>
      </c>
      <c r="C193" s="3" t="str">
        <f t="array" ref="C193">INDEX('final-RA-to-framework-summary'!$B$4:$B$26, MOD(ROW(A192)-1, 23)+1)</f>
        <v>Multi-Agent Coordinator</v>
      </c>
      <c r="D193" s="3" t="str">
        <f t="array" ref="D193">INDEX('final-RA-to-framework-summary'!$C$4:$Z$26, MOD(ROW(A192)-1, 23)+1, INT((ROW(A192)-1)/23)+1)</f>
        <v>not implemented</v>
      </c>
      <c r="E193" s="8"/>
      <c r="F193" s="8"/>
      <c r="G193" s="8"/>
      <c r="H193" s="8"/>
      <c r="I193" s="8"/>
      <c r="J193" s="8"/>
      <c r="K193" s="8"/>
      <c r="L193" s="8"/>
      <c r="M193" s="8"/>
      <c r="N193" s="8"/>
      <c r="O193" s="8"/>
      <c r="P193" s="8"/>
      <c r="Q193" s="8"/>
      <c r="R193" s="8"/>
      <c r="S193" s="8"/>
      <c r="T193" s="8"/>
      <c r="U193" s="8"/>
      <c r="V193" s="8"/>
      <c r="W193" s="8"/>
      <c r="X193" s="8"/>
      <c r="Y193" s="8"/>
      <c r="Z193" s="8"/>
    </row>
    <row r="194">
      <c r="A194" s="3" t="str">
        <f t="array" ref="A194">INDEX('final-RA-to-framework-summary'!$C$1:$T$1, 1, INT((ROW(A193)-1)/23)+1)</f>
        <v>F9</v>
      </c>
      <c r="B194" s="3" t="str">
        <f t="array" ref="B194">INDEX('final-RA-to-framework-summary'!$C$2:$T$2, 1, INT((ROW(B193)-1)/23)+1)</f>
        <v>Jumanji</v>
      </c>
      <c r="C194" s="3" t="str">
        <f t="array" ref="C194">INDEX('final-RA-to-framework-summary'!$B$4:$B$26, MOD(ROW(A193)-1, 23)+1)</f>
        <v>Distributed Execution 
Coordinator</v>
      </c>
      <c r="D194" s="3" t="str">
        <f t="array" ref="D194">INDEX('final-RA-to-framework-summary'!$C$4:$Z$26, MOD(ROW(A193)-1, 23)+1, INT((ROW(A193)-1)/23)+1)</f>
        <v>not implemented</v>
      </c>
      <c r="E194" s="8"/>
      <c r="F194" s="8"/>
      <c r="G194" s="8"/>
      <c r="H194" s="8"/>
      <c r="I194" s="8"/>
      <c r="J194" s="8"/>
      <c r="K194" s="8"/>
      <c r="L194" s="8"/>
      <c r="M194" s="8"/>
      <c r="N194" s="8"/>
      <c r="O194" s="8"/>
      <c r="P194" s="8"/>
      <c r="Q194" s="8"/>
      <c r="R194" s="8"/>
      <c r="S194" s="8"/>
      <c r="T194" s="8"/>
      <c r="U194" s="8"/>
      <c r="V194" s="8"/>
      <c r="W194" s="8"/>
      <c r="X194" s="8"/>
      <c r="Y194" s="8"/>
      <c r="Z194" s="8"/>
    </row>
    <row r="195">
      <c r="A195" s="3" t="str">
        <f t="array" ref="A195">INDEX('final-RA-to-framework-summary'!$C$1:$T$1, 1, INT((ROW(A194)-1)/23)+1)</f>
        <v>F9</v>
      </c>
      <c r="B195" s="3" t="str">
        <f t="array" ref="B195">INDEX('final-RA-to-framework-summary'!$C$2:$T$2, 1, INT((ROW(B194)-1)/23)+1)</f>
        <v>Jumanji</v>
      </c>
      <c r="C195" s="3" t="str">
        <f t="array" ref="C195">INDEX('final-RA-to-framework-summary'!$B$4:$B$26, MOD(ROW(A194)-1, 23)+1)</f>
        <v>Agent</v>
      </c>
      <c r="D195" s="3" t="str">
        <f t="array" ref="D195">INDEX('final-RA-to-framework-summary'!$C$4:$Z$26, MOD(ROW(A194)-1, 23)+1, INT((ROW(A194)-1)/23)+1)</f>
        <v>not implemented</v>
      </c>
      <c r="E195" s="8"/>
      <c r="F195" s="8"/>
      <c r="G195" s="8"/>
      <c r="H195" s="8"/>
      <c r="I195" s="8"/>
      <c r="J195" s="8"/>
      <c r="K195" s="8"/>
      <c r="L195" s="8"/>
      <c r="M195" s="8"/>
      <c r="N195" s="8"/>
      <c r="O195" s="8"/>
      <c r="P195" s="8"/>
      <c r="Q195" s="8"/>
      <c r="R195" s="8"/>
      <c r="S195" s="8"/>
      <c r="T195" s="8"/>
      <c r="U195" s="8"/>
      <c r="V195" s="8"/>
      <c r="W195" s="8"/>
      <c r="X195" s="8"/>
      <c r="Y195" s="8"/>
      <c r="Z195" s="8"/>
    </row>
    <row r="196">
      <c r="A196" s="3" t="str">
        <f t="array" ref="A196">INDEX('final-RA-to-framework-summary'!$C$1:$T$1, 1, INT((ROW(A195)-1)/23)+1)</f>
        <v>F9</v>
      </c>
      <c r="B196" s="3" t="str">
        <f t="array" ref="B196">INDEX('final-RA-to-framework-summary'!$C$2:$T$2, 1, INT((ROW(B195)-1)/23)+1)</f>
        <v>Jumanji</v>
      </c>
      <c r="C196" s="3" t="str">
        <f t="array" ref="C196">INDEX('final-RA-to-framework-summary'!$B$4:$B$26, MOD(ROW(A195)-1, 23)+1)</f>
        <v>Function Approximator</v>
      </c>
      <c r="D196" s="3" t="str">
        <f t="array" ref="D196">INDEX('final-RA-to-framework-summary'!$C$4:$Z$26, MOD(ROW(A195)-1, 23)+1, INT((ROW(A195)-1)/23)+1)</f>
        <v>not implemented</v>
      </c>
      <c r="E196" s="8"/>
      <c r="F196" s="8"/>
      <c r="G196" s="8"/>
      <c r="H196" s="8"/>
      <c r="I196" s="8"/>
      <c r="J196" s="8"/>
      <c r="K196" s="8"/>
      <c r="L196" s="8"/>
      <c r="M196" s="8"/>
      <c r="N196" s="8"/>
      <c r="O196" s="8"/>
      <c r="P196" s="8"/>
      <c r="Q196" s="8"/>
      <c r="R196" s="8"/>
      <c r="S196" s="8"/>
      <c r="T196" s="8"/>
      <c r="U196" s="8"/>
      <c r="V196" s="8"/>
      <c r="W196" s="8"/>
      <c r="X196" s="8"/>
      <c r="Y196" s="8"/>
      <c r="Z196" s="8"/>
    </row>
    <row r="197">
      <c r="A197" s="3" t="str">
        <f t="array" ref="A197">INDEX('final-RA-to-framework-summary'!$C$1:$T$1, 1, INT((ROW(A196)-1)/23)+1)</f>
        <v>F9</v>
      </c>
      <c r="B197" s="3" t="str">
        <f t="array" ref="B197">INDEX('final-RA-to-framework-summary'!$C$2:$T$2, 1, INT((ROW(B196)-1)/23)+1)</f>
        <v>Jumanji</v>
      </c>
      <c r="C197" s="3" t="str">
        <f t="array" ref="C197">INDEX('final-RA-to-framework-summary'!$B$4:$B$26, MOD(ROW(A196)-1, 23)+1)</f>
        <v>Buffer</v>
      </c>
      <c r="D197" s="3" t="str">
        <f t="array" ref="D197">INDEX('final-RA-to-framework-summary'!$C$4:$Z$26, MOD(ROW(A196)-1, 23)+1, INT((ROW(A196)-1)/23)+1)</f>
        <v>not implemented</v>
      </c>
      <c r="E197" s="8"/>
      <c r="F197" s="8"/>
      <c r="G197" s="8"/>
      <c r="H197" s="8"/>
      <c r="I197" s="8"/>
      <c r="J197" s="8"/>
      <c r="K197" s="8"/>
      <c r="L197" s="8"/>
      <c r="M197" s="8"/>
      <c r="N197" s="8"/>
      <c r="O197" s="8"/>
      <c r="P197" s="8"/>
      <c r="Q197" s="8"/>
      <c r="R197" s="8"/>
      <c r="S197" s="8"/>
      <c r="T197" s="8"/>
      <c r="U197" s="8"/>
      <c r="V197" s="8"/>
      <c r="W197" s="8"/>
      <c r="X197" s="8"/>
      <c r="Y197" s="8"/>
      <c r="Z197" s="8"/>
    </row>
    <row r="198">
      <c r="A198" s="3" t="str">
        <f t="array" ref="A198">INDEX('final-RA-to-framework-summary'!$C$1:$T$1, 1, INT((ROW(A197)-1)/23)+1)</f>
        <v>F9</v>
      </c>
      <c r="B198" s="3" t="str">
        <f t="array" ref="B198">INDEX('final-RA-to-framework-summary'!$C$2:$T$2, 1, INT((ROW(B197)-1)/23)+1)</f>
        <v>Jumanji</v>
      </c>
      <c r="C198" s="3" t="str">
        <f t="array" ref="C198">INDEX('final-RA-to-framework-summary'!$B$4:$B$26, MOD(ROW(A197)-1, 23)+1)</f>
        <v>Learner</v>
      </c>
      <c r="D198" s="3" t="str">
        <f t="array" ref="D198">INDEX('final-RA-to-framework-summary'!$C$4:$Z$26, MOD(ROW(A197)-1, 23)+1, INT((ROW(A197)-1)/23)+1)</f>
        <v>not implemented</v>
      </c>
      <c r="E198" s="8"/>
      <c r="F198" s="8"/>
      <c r="G198" s="8"/>
      <c r="H198" s="8"/>
      <c r="I198" s="8"/>
      <c r="J198" s="8"/>
      <c r="K198" s="8"/>
      <c r="L198" s="8"/>
      <c r="M198" s="8"/>
      <c r="N198" s="8"/>
      <c r="O198" s="8"/>
      <c r="P198" s="8"/>
      <c r="Q198" s="8"/>
      <c r="R198" s="8"/>
      <c r="S198" s="8"/>
      <c r="T198" s="8"/>
      <c r="U198" s="8"/>
      <c r="V198" s="8"/>
      <c r="W198" s="8"/>
      <c r="X198" s="8"/>
      <c r="Y198" s="8"/>
      <c r="Z198" s="8"/>
    </row>
    <row r="199">
      <c r="A199" s="3" t="str">
        <f t="array" ref="A199">INDEX('final-RA-to-framework-summary'!$C$1:$T$1, 1, INT((ROW(A198)-1)/23)+1)</f>
        <v>F9</v>
      </c>
      <c r="B199" s="3" t="str">
        <f t="array" ref="B199">INDEX('final-RA-to-framework-summary'!$C$2:$T$2, 1, INT((ROW(B198)-1)/23)+1)</f>
        <v>Jumanji</v>
      </c>
      <c r="C199" s="3" t="str">
        <f t="array" ref="C199">INDEX('final-RA-to-framework-summary'!$B$4:$B$26, MOD(ROW(A198)-1, 23)+1)</f>
        <v>Environment</v>
      </c>
      <c r="D199" s="3" t="str">
        <f t="array" ref="D199">INDEX('final-RA-to-framework-summary'!$C$4:$Z$26, MOD(ROW(A198)-1, 23)+1, INT((ROW(A198)-1)/23)+1)</f>
        <v>explicit</v>
      </c>
      <c r="E199" s="14" t="s">
        <v>284</v>
      </c>
      <c r="F199" s="10" t="s">
        <v>285</v>
      </c>
      <c r="G199" s="8"/>
      <c r="H199" s="8"/>
      <c r="I199" s="8"/>
      <c r="J199" s="8"/>
      <c r="K199" s="8"/>
      <c r="L199" s="8"/>
      <c r="M199" s="8"/>
      <c r="N199" s="8"/>
      <c r="O199" s="8"/>
      <c r="P199" s="8"/>
      <c r="Q199" s="8"/>
      <c r="R199" s="8"/>
      <c r="S199" s="8"/>
      <c r="T199" s="8"/>
      <c r="U199" s="8"/>
      <c r="V199" s="8"/>
      <c r="W199" s="8"/>
      <c r="X199" s="8"/>
      <c r="Y199" s="8"/>
      <c r="Z199" s="8"/>
    </row>
    <row r="200">
      <c r="A200" s="3" t="str">
        <f t="array" ref="A200">INDEX('final-RA-to-framework-summary'!$C$1:$T$1, 1, INT((ROW(A199)-1)/23)+1)</f>
        <v>F9</v>
      </c>
      <c r="B200" s="3" t="str">
        <f t="array" ref="B200">INDEX('final-RA-to-framework-summary'!$C$2:$T$2, 1, INT((ROW(B199)-1)/23)+1)</f>
        <v>Jumanji</v>
      </c>
      <c r="C200" s="3" t="str">
        <f t="array" ref="C200">INDEX('final-RA-to-framework-summary'!$B$4:$B$26, MOD(ROW(A199)-1, 23)+1)</f>
        <v>Environment Core</v>
      </c>
      <c r="D200" s="3" t="str">
        <f t="array" ref="D200">INDEX('final-RA-to-framework-summary'!$C$4:$Z$26, MOD(ROW(A199)-1, 23)+1, INT((ROW(A199)-1)/23)+1)</f>
        <v>explicit</v>
      </c>
      <c r="E200" s="9" t="s">
        <v>286</v>
      </c>
      <c r="F200" s="10" t="s">
        <v>285</v>
      </c>
      <c r="G200" s="10" t="s">
        <v>287</v>
      </c>
      <c r="H200" s="8"/>
      <c r="I200" s="8"/>
      <c r="J200" s="8"/>
      <c r="K200" s="8"/>
      <c r="L200" s="8"/>
      <c r="M200" s="8"/>
      <c r="N200" s="8"/>
      <c r="O200" s="8"/>
      <c r="P200" s="8"/>
      <c r="Q200" s="8"/>
      <c r="R200" s="8"/>
      <c r="S200" s="8"/>
      <c r="T200" s="8"/>
      <c r="U200" s="8"/>
      <c r="V200" s="8"/>
      <c r="W200" s="8"/>
      <c r="X200" s="8"/>
      <c r="Y200" s="8"/>
      <c r="Z200" s="8"/>
    </row>
    <row r="201">
      <c r="A201" s="3" t="str">
        <f t="array" ref="A201">INDEX('final-RA-to-framework-summary'!$C$1:$T$1, 1, INT((ROW(A200)-1)/23)+1)</f>
        <v>F9</v>
      </c>
      <c r="B201" s="3" t="str">
        <f t="array" ref="B201">INDEX('final-RA-to-framework-summary'!$C$2:$T$2, 1, INT((ROW(B200)-1)/23)+1)</f>
        <v>Jumanji</v>
      </c>
      <c r="C201" s="3" t="str">
        <f t="array" ref="C201">INDEX('final-RA-to-framework-summary'!$B$4:$B$26, MOD(ROW(A200)-1, 23)+1)</f>
        <v>Simulator</v>
      </c>
      <c r="D201" s="3" t="str">
        <f t="array" ref="D201">INDEX('final-RA-to-framework-summary'!$C$4:$Z$26, MOD(ROW(A200)-1, 23)+1, INT((ROW(A200)-1)/23)+1)</f>
        <v>implicit</v>
      </c>
      <c r="E201" s="9" t="s">
        <v>288</v>
      </c>
      <c r="F201" s="10" t="s">
        <v>289</v>
      </c>
      <c r="G201" s="10" t="s">
        <v>290</v>
      </c>
      <c r="H201" s="8"/>
      <c r="I201" s="8"/>
      <c r="J201" s="8"/>
      <c r="K201" s="8"/>
      <c r="L201" s="8"/>
      <c r="M201" s="8"/>
      <c r="N201" s="8"/>
      <c r="O201" s="8"/>
      <c r="P201" s="8"/>
      <c r="Q201" s="8"/>
      <c r="R201" s="8"/>
      <c r="S201" s="8"/>
      <c r="T201" s="8"/>
      <c r="U201" s="8"/>
      <c r="V201" s="8"/>
      <c r="W201" s="8"/>
      <c r="X201" s="8"/>
      <c r="Y201" s="8"/>
      <c r="Z201" s="8"/>
    </row>
    <row r="202">
      <c r="A202" s="3" t="str">
        <f t="array" ref="A202">INDEX('final-RA-to-framework-summary'!$C$1:$T$1, 1, INT((ROW(A201)-1)/23)+1)</f>
        <v>F9</v>
      </c>
      <c r="B202" s="3" t="str">
        <f t="array" ref="B202">INDEX('final-RA-to-framework-summary'!$C$2:$T$2, 1, INT((ROW(B201)-1)/23)+1)</f>
        <v>Jumanji</v>
      </c>
      <c r="C202" s="3" t="str">
        <f t="array" ref="C202">INDEX('final-RA-to-framework-summary'!$B$4:$B$26, MOD(ROW(A201)-1, 23)+1)</f>
        <v>Simulator Adapter</v>
      </c>
      <c r="D202" s="3" t="str">
        <f t="array" ref="D202">INDEX('final-RA-to-framework-summary'!$C$4:$Z$26, MOD(ROW(A201)-1, 23)+1, INT((ROW(A201)-1)/23)+1)</f>
        <v>not implemented</v>
      </c>
      <c r="E202" s="8"/>
      <c r="F202" s="8"/>
      <c r="G202" s="8"/>
      <c r="H202" s="8"/>
      <c r="I202" s="8"/>
      <c r="J202" s="8"/>
      <c r="K202" s="8"/>
      <c r="L202" s="8"/>
      <c r="M202" s="8"/>
      <c r="N202" s="8"/>
      <c r="O202" s="8"/>
      <c r="P202" s="8"/>
      <c r="Q202" s="8"/>
      <c r="R202" s="8"/>
      <c r="S202" s="8"/>
      <c r="T202" s="8"/>
      <c r="U202" s="8"/>
      <c r="V202" s="8"/>
      <c r="W202" s="8"/>
      <c r="X202" s="8"/>
      <c r="Y202" s="8"/>
      <c r="Z202" s="8"/>
    </row>
    <row r="203">
      <c r="A203" s="3" t="str">
        <f t="array" ref="A203">INDEX('final-RA-to-framework-summary'!$C$1:$T$1, 1, INT((ROW(A202)-1)/23)+1)</f>
        <v>F9</v>
      </c>
      <c r="B203" s="3" t="str">
        <f t="array" ref="B203">INDEX('final-RA-to-framework-summary'!$C$2:$T$2, 1, INT((ROW(B202)-1)/23)+1)</f>
        <v>Jumanji</v>
      </c>
      <c r="C203" s="3" t="str">
        <f t="array" ref="C203">INDEX('final-RA-to-framework-summary'!$B$4:$B$26, MOD(ROW(A202)-1, 23)+1)</f>
        <v>Checkpoint Manager</v>
      </c>
      <c r="D203" s="3" t="str">
        <f t="array" ref="D203">INDEX('final-RA-to-framework-summary'!$C$4:$Z$26, MOD(ROW(A202)-1, 23)+1, INT((ROW(A202)-1)/23)+1)</f>
        <v>implicit</v>
      </c>
      <c r="E203" s="9" t="s">
        <v>291</v>
      </c>
      <c r="F203" s="10" t="s">
        <v>292</v>
      </c>
      <c r="G203" s="8"/>
      <c r="H203" s="8"/>
      <c r="I203" s="8"/>
      <c r="J203" s="8"/>
      <c r="K203" s="8"/>
      <c r="L203" s="8"/>
      <c r="M203" s="8"/>
      <c r="N203" s="8"/>
      <c r="O203" s="8"/>
      <c r="P203" s="8"/>
      <c r="Q203" s="8"/>
      <c r="R203" s="8"/>
      <c r="S203" s="8"/>
      <c r="T203" s="8"/>
      <c r="U203" s="8"/>
      <c r="V203" s="8"/>
      <c r="W203" s="8"/>
      <c r="X203" s="8"/>
      <c r="Y203" s="8"/>
      <c r="Z203" s="8"/>
    </row>
    <row r="204">
      <c r="A204" s="3" t="str">
        <f t="array" ref="A204">INDEX('final-RA-to-framework-summary'!$C$1:$T$1, 1, INT((ROW(A203)-1)/23)+1)</f>
        <v>F9</v>
      </c>
      <c r="B204" s="3" t="str">
        <f t="array" ref="B204">INDEX('final-RA-to-framework-summary'!$C$2:$T$2, 1, INT((ROW(B203)-1)/23)+1)</f>
        <v>Jumanji</v>
      </c>
      <c r="C204" s="3" t="str">
        <f t="array" ref="C204">INDEX('final-RA-to-framework-summary'!$B$4:$B$26, MOD(ROW(A203)-1, 23)+1)</f>
        <v>Environment Parameter 
Manager</v>
      </c>
      <c r="D204" s="3" t="str">
        <f t="array" ref="D204">INDEX('final-RA-to-framework-summary'!$C$4:$Z$26, MOD(ROW(A203)-1, 23)+1, INT((ROW(A203)-1)/23)+1)</f>
        <v>not implemented</v>
      </c>
      <c r="E204" s="8"/>
      <c r="F204" s="8"/>
      <c r="G204" s="8"/>
      <c r="H204" s="8"/>
      <c r="I204" s="8"/>
      <c r="J204" s="8"/>
      <c r="K204" s="8"/>
      <c r="L204" s="8"/>
      <c r="M204" s="8"/>
      <c r="N204" s="8"/>
      <c r="O204" s="8"/>
      <c r="P204" s="8"/>
      <c r="Q204" s="8"/>
      <c r="R204" s="8"/>
      <c r="S204" s="8"/>
      <c r="T204" s="8"/>
      <c r="U204" s="8"/>
      <c r="V204" s="8"/>
      <c r="W204" s="8"/>
      <c r="X204" s="8"/>
      <c r="Y204" s="8"/>
      <c r="Z204" s="8"/>
    </row>
    <row r="205">
      <c r="A205" s="3" t="str">
        <f t="array" ref="A205">INDEX('final-RA-to-framework-summary'!$C$1:$T$1, 1, INT((ROW(A204)-1)/23)+1)</f>
        <v>F9</v>
      </c>
      <c r="B205" s="3" t="str">
        <f t="array" ref="B205">INDEX('final-RA-to-framework-summary'!$C$2:$T$2, 1, INT((ROW(B204)-1)/23)+1)</f>
        <v>Jumanji</v>
      </c>
      <c r="C205" s="3" t="str">
        <f t="array" ref="C205">INDEX('final-RA-to-framework-summary'!$B$4:$B$26, MOD(ROW(A204)-1, 23)+1)</f>
        <v>Renderer</v>
      </c>
      <c r="D205" s="3" t="str">
        <f t="array" ref="D205">INDEX('final-RA-to-framework-summary'!$C$4:$Z$26, MOD(ROW(A204)-1, 23)+1, INT((ROW(A204)-1)/23)+1)</f>
        <v>explicit</v>
      </c>
      <c r="E205" s="9" t="s">
        <v>293</v>
      </c>
      <c r="F205" s="10" t="s">
        <v>294</v>
      </c>
      <c r="G205" s="8"/>
      <c r="H205" s="8"/>
      <c r="I205" s="8"/>
      <c r="J205" s="8"/>
      <c r="K205" s="8"/>
      <c r="L205" s="8"/>
      <c r="M205" s="8"/>
      <c r="N205" s="8"/>
      <c r="O205" s="8"/>
      <c r="P205" s="8"/>
      <c r="Q205" s="8"/>
      <c r="R205" s="8"/>
      <c r="S205" s="8"/>
      <c r="T205" s="8"/>
      <c r="U205" s="8"/>
      <c r="V205" s="8"/>
      <c r="W205" s="8"/>
      <c r="X205" s="8"/>
      <c r="Y205" s="8"/>
      <c r="Z205" s="8"/>
    </row>
    <row r="206">
      <c r="A206" s="3" t="str">
        <f t="array" ref="A206">INDEX('final-RA-to-framework-summary'!$C$1:$T$1, 1, INT((ROW(A205)-1)/23)+1)</f>
        <v>F9</v>
      </c>
      <c r="B206" s="3" t="str">
        <f t="array" ref="B206">INDEX('final-RA-to-framework-summary'!$C$2:$T$2, 1, INT((ROW(B205)-1)/23)+1)</f>
        <v>Jumanji</v>
      </c>
      <c r="C206" s="3" t="str">
        <f t="array" ref="C206">INDEX('final-RA-to-framework-summary'!$B$4:$B$26, MOD(ROW(A205)-1, 23)+1)</f>
        <v>Recorder</v>
      </c>
      <c r="D206" s="3" t="str">
        <f t="array" ref="D206">INDEX('final-RA-to-framework-summary'!$C$4:$Z$26, MOD(ROW(A205)-1, 23)+1, INT((ROW(A205)-1)/23)+1)</f>
        <v>not implemented</v>
      </c>
      <c r="E206" s="8"/>
      <c r="F206" s="8"/>
      <c r="G206" s="8"/>
      <c r="H206" s="8"/>
      <c r="I206" s="8"/>
      <c r="J206" s="8"/>
      <c r="K206" s="8"/>
      <c r="L206" s="8"/>
      <c r="M206" s="8"/>
      <c r="N206" s="8"/>
      <c r="O206" s="8"/>
      <c r="P206" s="8"/>
      <c r="Q206" s="8"/>
      <c r="R206" s="8"/>
      <c r="S206" s="8"/>
      <c r="T206" s="8"/>
      <c r="U206" s="8"/>
      <c r="V206" s="8"/>
      <c r="W206" s="8"/>
      <c r="X206" s="8"/>
      <c r="Y206" s="8"/>
      <c r="Z206" s="8"/>
    </row>
    <row r="207">
      <c r="A207" s="3" t="str">
        <f t="array" ref="A207">INDEX('final-RA-to-framework-summary'!$C$1:$T$1, 1, INT((ROW(A206)-1)/23)+1)</f>
        <v>F9</v>
      </c>
      <c r="B207" s="3" t="str">
        <f t="array" ref="B207">INDEX('final-RA-to-framework-summary'!$C$2:$T$2, 1, INT((ROW(B206)-1)/23)+1)</f>
        <v>Jumanji</v>
      </c>
      <c r="C207" s="3" t="str">
        <f t="array" ref="C207">INDEX('final-RA-to-framework-summary'!$B$4:$B$26, MOD(ROW(A206)-1, 23)+1)</f>
        <v>Logger</v>
      </c>
      <c r="D207" s="3" t="str">
        <f t="array" ref="D207">INDEX('final-RA-to-framework-summary'!$C$4:$Z$26, MOD(ROW(A206)-1, 23)+1, INT((ROW(A206)-1)/23)+1)</f>
        <v>explicit</v>
      </c>
      <c r="E207" s="9" t="s">
        <v>295</v>
      </c>
      <c r="F207" s="10" t="s">
        <v>296</v>
      </c>
      <c r="G207" s="8"/>
      <c r="H207" s="8"/>
      <c r="I207" s="8"/>
      <c r="J207" s="8"/>
      <c r="K207" s="8"/>
      <c r="L207" s="8"/>
      <c r="M207" s="8"/>
      <c r="N207" s="8"/>
      <c r="O207" s="8"/>
      <c r="P207" s="8"/>
      <c r="Q207" s="8"/>
      <c r="R207" s="8"/>
      <c r="S207" s="8"/>
      <c r="T207" s="8"/>
      <c r="U207" s="8"/>
      <c r="V207" s="8"/>
      <c r="W207" s="8"/>
      <c r="X207" s="8"/>
      <c r="Y207" s="8"/>
      <c r="Z207" s="8"/>
    </row>
    <row r="208">
      <c r="A208" s="3" t="str">
        <f t="array" ref="A208">INDEX('final-RA-to-framework-summary'!$C$1:$T$1, 1, INT((ROW(A207)-1)/23)+1)</f>
        <v>F9</v>
      </c>
      <c r="B208" s="3" t="str">
        <f t="array" ref="B208">INDEX('final-RA-to-framework-summary'!$C$2:$T$2, 1, INT((ROW(B207)-1)/23)+1)</f>
        <v>Jumanji</v>
      </c>
      <c r="C208" s="3" t="str">
        <f t="array" ref="C208">INDEX('final-RA-to-framework-summary'!$B$4:$B$26, MOD(ROW(A207)-1, 23)+1)</f>
        <v>Reporter</v>
      </c>
      <c r="D208" s="3" t="str">
        <f t="array" ref="D208">INDEX('final-RA-to-framework-summary'!$C$4:$Z$26, MOD(ROW(A207)-1, 23)+1, INT((ROW(A207)-1)/23)+1)</f>
        <v>not implemented</v>
      </c>
      <c r="E208" s="8"/>
      <c r="F208" s="8"/>
      <c r="G208" s="8"/>
      <c r="H208" s="8"/>
      <c r="I208" s="8"/>
      <c r="J208" s="8"/>
      <c r="K208" s="8"/>
      <c r="L208" s="8"/>
      <c r="M208" s="8"/>
      <c r="N208" s="8"/>
      <c r="O208" s="8"/>
      <c r="P208" s="8"/>
      <c r="Q208" s="8"/>
      <c r="R208" s="8"/>
      <c r="S208" s="8"/>
      <c r="T208" s="8"/>
      <c r="U208" s="8"/>
      <c r="V208" s="8"/>
      <c r="W208" s="8"/>
      <c r="X208" s="8"/>
      <c r="Y208" s="8"/>
      <c r="Z208" s="8"/>
    </row>
    <row r="209">
      <c r="A209" s="3" t="str">
        <f t="array" ref="A209">INDEX('final-RA-to-framework-summary'!$C$1:$T$1, 1, INT((ROW(A208)-1)/23)+1)</f>
        <v>F10</v>
      </c>
      <c r="B209" s="3" t="str">
        <f t="array" ref="B209">INDEX('final-RA-to-framework-summary'!$C$2:$T$2, 1, INT((ROW(B208)-1)/23)+1)</f>
        <v>Stable Baselines3</v>
      </c>
      <c r="C209" s="3" t="str">
        <f t="array" ref="C209">INDEX('final-RA-to-framework-summary'!$B$4:$B$26, MOD(ROW(A208)-1, 23)+1)</f>
        <v>Experiment Orchestrator</v>
      </c>
      <c r="D209" s="3" t="str">
        <f t="array" ref="D209">INDEX('final-RA-to-framework-summary'!$C$4:$Z$26, MOD(ROW(A208)-1, 23)+1, INT((ROW(A208)-1)/23)+1)</f>
        <v>not implemented</v>
      </c>
      <c r="E209" s="8"/>
      <c r="F209" s="8"/>
      <c r="G209" s="8"/>
      <c r="H209" s="8"/>
      <c r="I209" s="8"/>
      <c r="J209" s="8"/>
      <c r="K209" s="8"/>
      <c r="L209" s="8"/>
      <c r="M209" s="8"/>
      <c r="N209" s="8"/>
      <c r="O209" s="8"/>
      <c r="P209" s="8"/>
      <c r="Q209" s="8"/>
      <c r="R209" s="8"/>
      <c r="S209" s="8"/>
      <c r="T209" s="8"/>
      <c r="U209" s="8"/>
      <c r="V209" s="8"/>
      <c r="W209" s="8"/>
      <c r="X209" s="8"/>
      <c r="Y209" s="8"/>
      <c r="Z209" s="8"/>
    </row>
    <row r="210">
      <c r="A210" s="3" t="str">
        <f t="array" ref="A210">INDEX('final-RA-to-framework-summary'!$C$1:$T$1, 1, INT((ROW(A209)-1)/23)+1)</f>
        <v>F10</v>
      </c>
      <c r="B210" s="3" t="str">
        <f t="array" ref="B210">INDEX('final-RA-to-framework-summary'!$C$2:$T$2, 1, INT((ROW(B209)-1)/23)+1)</f>
        <v>Stable Baselines3</v>
      </c>
      <c r="C210" s="3" t="str">
        <f t="array" ref="C210">INDEX('final-RA-to-framework-summary'!$B$4:$B$26, MOD(ROW(A209)-1, 23)+1)</f>
        <v>Experiment Manager</v>
      </c>
      <c r="D210" s="3" t="str">
        <f t="array" ref="D210">INDEX('final-RA-to-framework-summary'!$C$4:$Z$26, MOD(ROW(A209)-1, 23)+1, INT((ROW(A209)-1)/23)+1)</f>
        <v>implicit</v>
      </c>
      <c r="E210" s="9" t="s">
        <v>297</v>
      </c>
      <c r="F210" s="10" t="s">
        <v>298</v>
      </c>
      <c r="G210" s="10" t="s">
        <v>299</v>
      </c>
      <c r="H210" s="8"/>
      <c r="I210" s="8"/>
      <c r="J210" s="8"/>
      <c r="K210" s="8"/>
      <c r="L210" s="8"/>
      <c r="M210" s="8"/>
      <c r="N210" s="8"/>
      <c r="O210" s="8"/>
      <c r="P210" s="8"/>
      <c r="Q210" s="8"/>
      <c r="R210" s="8"/>
      <c r="S210" s="8"/>
      <c r="T210" s="8"/>
      <c r="U210" s="8"/>
      <c r="V210" s="8"/>
      <c r="W210" s="8"/>
      <c r="X210" s="8"/>
      <c r="Y210" s="8"/>
      <c r="Z210" s="8"/>
    </row>
    <row r="211">
      <c r="A211" s="3" t="str">
        <f t="array" ref="A211">INDEX('final-RA-to-framework-summary'!$C$1:$T$1, 1, INT((ROW(A210)-1)/23)+1)</f>
        <v>F10</v>
      </c>
      <c r="B211" s="3" t="str">
        <f t="array" ref="B211">INDEX('final-RA-to-framework-summary'!$C$2:$T$2, 1, INT((ROW(B210)-1)/23)+1)</f>
        <v>Stable Baselines3</v>
      </c>
      <c r="C211" s="3" t="str">
        <f t="array" ref="C211">INDEX('final-RA-to-framework-summary'!$B$4:$B$26, MOD(ROW(A210)-1, 23)+1)</f>
        <v>Hyperparameter Tuner</v>
      </c>
      <c r="D211" s="3" t="str">
        <f t="array" ref="D211">INDEX('final-RA-to-framework-summary'!$C$4:$Z$26, MOD(ROW(A210)-1, 23)+1, INT((ROW(A210)-1)/23)+1)</f>
        <v>not implemented</v>
      </c>
      <c r="E211" s="8"/>
      <c r="F211" s="8"/>
      <c r="G211" s="8"/>
      <c r="H211" s="8"/>
      <c r="I211" s="8"/>
      <c r="J211" s="8"/>
      <c r="K211" s="8"/>
      <c r="L211" s="8"/>
      <c r="M211" s="8"/>
      <c r="N211" s="8"/>
      <c r="O211" s="8"/>
      <c r="P211" s="8"/>
      <c r="Q211" s="8"/>
      <c r="R211" s="8"/>
      <c r="S211" s="8"/>
      <c r="T211" s="8"/>
      <c r="U211" s="8"/>
      <c r="V211" s="8"/>
      <c r="W211" s="8"/>
      <c r="X211" s="8"/>
      <c r="Y211" s="8"/>
      <c r="Z211" s="8"/>
    </row>
    <row r="212">
      <c r="A212" s="3" t="str">
        <f t="array" ref="A212">INDEX('final-RA-to-framework-summary'!$C$1:$T$1, 1, INT((ROW(A211)-1)/23)+1)</f>
        <v>F10</v>
      </c>
      <c r="B212" s="3" t="str">
        <f t="array" ref="B212">INDEX('final-RA-to-framework-summary'!$C$2:$T$2, 1, INT((ROW(B211)-1)/23)+1)</f>
        <v>Stable Baselines3</v>
      </c>
      <c r="C212" s="3" t="str">
        <f t="array" ref="C212">INDEX('final-RA-to-framework-summary'!$B$4:$B$26, MOD(ROW(A211)-1, 23)+1)</f>
        <v>Benchmark Manager</v>
      </c>
      <c r="D212" s="3" t="str">
        <f t="array" ref="D212">INDEX('final-RA-to-framework-summary'!$C$4:$Z$26, MOD(ROW(A211)-1, 23)+1, INT((ROW(A211)-1)/23)+1)</f>
        <v>not implemented</v>
      </c>
      <c r="E212" s="8"/>
      <c r="F212" s="8"/>
      <c r="G212" s="8"/>
      <c r="H212" s="8"/>
      <c r="I212" s="8"/>
      <c r="J212" s="8"/>
      <c r="K212" s="8"/>
      <c r="L212" s="8"/>
      <c r="M212" s="8"/>
      <c r="N212" s="8"/>
      <c r="O212" s="8"/>
      <c r="P212" s="8"/>
      <c r="Q212" s="8"/>
      <c r="R212" s="8"/>
      <c r="S212" s="8"/>
      <c r="T212" s="8"/>
      <c r="U212" s="8"/>
      <c r="V212" s="8"/>
      <c r="W212" s="8"/>
      <c r="X212" s="8"/>
      <c r="Y212" s="8"/>
      <c r="Z212" s="8"/>
    </row>
    <row r="213">
      <c r="A213" s="3" t="str">
        <f t="array" ref="A213">INDEX('final-RA-to-framework-summary'!$C$1:$T$1, 1, INT((ROW(A212)-1)/23)+1)</f>
        <v>F10</v>
      </c>
      <c r="B213" s="3" t="str">
        <f t="array" ref="B213">INDEX('final-RA-to-framework-summary'!$C$2:$T$2, 1, INT((ROW(B212)-1)/23)+1)</f>
        <v>Stable Baselines3</v>
      </c>
      <c r="C213" s="3" t="str">
        <f t="array" ref="C213">INDEX('final-RA-to-framework-summary'!$B$4:$B$26, MOD(ROW(A212)-1, 23)+1)</f>
        <v>Framework Orchestrator</v>
      </c>
      <c r="D213" s="3" t="str">
        <f t="array" ref="D213">INDEX('final-RA-to-framework-summary'!$C$4:$Z$26, MOD(ROW(A212)-1, 23)+1, INT((ROW(A212)-1)/23)+1)</f>
        <v>implicit</v>
      </c>
      <c r="E213" s="9" t="s">
        <v>300</v>
      </c>
      <c r="F213" s="10" t="s">
        <v>298</v>
      </c>
      <c r="G213" s="10" t="s">
        <v>299</v>
      </c>
      <c r="H213" s="8"/>
      <c r="I213" s="8"/>
      <c r="J213" s="8"/>
      <c r="K213" s="8"/>
      <c r="L213" s="8"/>
      <c r="M213" s="8"/>
      <c r="N213" s="8"/>
      <c r="O213" s="8"/>
      <c r="P213" s="8"/>
      <c r="Q213" s="8"/>
      <c r="R213" s="8"/>
      <c r="S213" s="8"/>
      <c r="T213" s="8"/>
      <c r="U213" s="8"/>
      <c r="V213" s="8"/>
      <c r="W213" s="8"/>
      <c r="X213" s="8"/>
      <c r="Y213" s="8"/>
      <c r="Z213" s="8"/>
    </row>
    <row r="214">
      <c r="A214" s="3" t="str">
        <f t="array" ref="A214">INDEX('final-RA-to-framework-summary'!$C$1:$T$1, 1, INT((ROW(A213)-1)/23)+1)</f>
        <v>F10</v>
      </c>
      <c r="B214" s="3" t="str">
        <f t="array" ref="B214">INDEX('final-RA-to-framework-summary'!$C$2:$T$2, 1, INT((ROW(B213)-1)/23)+1)</f>
        <v>Stable Baselines3</v>
      </c>
      <c r="C214" s="3" t="str">
        <f t="array" ref="C214">INDEX('final-RA-to-framework-summary'!$B$4:$B$26, MOD(ROW(A213)-1, 23)+1)</f>
        <v>Lifecycle Manager</v>
      </c>
      <c r="D214" s="3" t="str">
        <f t="array" ref="D214">INDEX('final-RA-to-framework-summary'!$C$4:$Z$26, MOD(ROW(A213)-1, 23)+1, INT((ROW(A213)-1)/23)+1)</f>
        <v>implicit</v>
      </c>
      <c r="E214" s="9" t="s">
        <v>301</v>
      </c>
      <c r="F214" s="10" t="s">
        <v>302</v>
      </c>
      <c r="G214" s="10" t="s">
        <v>303</v>
      </c>
      <c r="H214" s="8"/>
      <c r="I214" s="8"/>
      <c r="J214" s="8"/>
      <c r="K214" s="8"/>
      <c r="L214" s="8"/>
      <c r="M214" s="8"/>
      <c r="N214" s="8"/>
      <c r="O214" s="8"/>
      <c r="P214" s="8"/>
      <c r="Q214" s="8"/>
      <c r="R214" s="8"/>
      <c r="S214" s="8"/>
      <c r="T214" s="8"/>
      <c r="U214" s="8"/>
      <c r="V214" s="8"/>
      <c r="W214" s="8"/>
      <c r="X214" s="8"/>
      <c r="Y214" s="8"/>
      <c r="Z214" s="8"/>
    </row>
    <row r="215">
      <c r="A215" s="3" t="str">
        <f t="array" ref="A215">INDEX('final-RA-to-framework-summary'!$C$1:$T$1, 1, INT((ROW(A214)-1)/23)+1)</f>
        <v>F10</v>
      </c>
      <c r="B215" s="3" t="str">
        <f t="array" ref="B215">INDEX('final-RA-to-framework-summary'!$C$2:$T$2, 1, INT((ROW(B214)-1)/23)+1)</f>
        <v>Stable Baselines3</v>
      </c>
      <c r="C215" s="3" t="str">
        <f t="array" ref="C215">INDEX('final-RA-to-framework-summary'!$B$4:$B$26, MOD(ROW(A214)-1, 23)+1)</f>
        <v>Configuration Manager</v>
      </c>
      <c r="D215" s="3" t="str">
        <f t="array" ref="D215">INDEX('final-RA-to-framework-summary'!$C$4:$Z$26, MOD(ROW(A214)-1, 23)+1, INT((ROW(A214)-1)/23)+1)</f>
        <v>not implemented</v>
      </c>
      <c r="E215" s="8"/>
      <c r="F215" s="8"/>
      <c r="G215" s="8"/>
      <c r="H215" s="8"/>
      <c r="I215" s="8"/>
      <c r="J215" s="8"/>
      <c r="K215" s="8"/>
      <c r="L215" s="8"/>
      <c r="M215" s="8"/>
      <c r="N215" s="8"/>
      <c r="O215" s="8"/>
      <c r="P215" s="8"/>
      <c r="Q215" s="8"/>
      <c r="R215" s="8"/>
      <c r="S215" s="8"/>
      <c r="T215" s="8"/>
      <c r="U215" s="8"/>
      <c r="V215" s="8"/>
      <c r="W215" s="8"/>
      <c r="X215" s="8"/>
      <c r="Y215" s="8"/>
      <c r="Z215" s="8"/>
    </row>
    <row r="216">
      <c r="A216" s="3" t="str">
        <f t="array" ref="A216">INDEX('final-RA-to-framework-summary'!$C$1:$T$1, 1, INT((ROW(A215)-1)/23)+1)</f>
        <v>F10</v>
      </c>
      <c r="B216" s="3" t="str">
        <f t="array" ref="B216">INDEX('final-RA-to-framework-summary'!$C$2:$T$2, 1, INT((ROW(B215)-1)/23)+1)</f>
        <v>Stable Baselines3</v>
      </c>
      <c r="C216" s="3" t="str">
        <f t="array" ref="C216">INDEX('final-RA-to-framework-summary'!$B$4:$B$26, MOD(ROW(A215)-1, 23)+1)</f>
        <v>Multi-Agent Coordinator</v>
      </c>
      <c r="D216" s="3" t="str">
        <f t="array" ref="D216">INDEX('final-RA-to-framework-summary'!$C$4:$Z$26, MOD(ROW(A215)-1, 23)+1, INT((ROW(A215)-1)/23)+1)</f>
        <v>not implemented</v>
      </c>
      <c r="E216" s="8"/>
      <c r="F216" s="8"/>
      <c r="G216" s="8"/>
      <c r="H216" s="8"/>
      <c r="I216" s="8"/>
      <c r="J216" s="8"/>
      <c r="K216" s="8"/>
      <c r="L216" s="8"/>
      <c r="M216" s="8"/>
      <c r="N216" s="8"/>
      <c r="O216" s="8"/>
      <c r="P216" s="8"/>
      <c r="Q216" s="8"/>
      <c r="R216" s="8"/>
      <c r="S216" s="8"/>
      <c r="T216" s="8"/>
      <c r="U216" s="8"/>
      <c r="V216" s="8"/>
      <c r="W216" s="8"/>
      <c r="X216" s="8"/>
      <c r="Y216" s="8"/>
      <c r="Z216" s="8"/>
    </row>
    <row r="217">
      <c r="A217" s="3" t="str">
        <f t="array" ref="A217">INDEX('final-RA-to-framework-summary'!$C$1:$T$1, 1, INT((ROW(A216)-1)/23)+1)</f>
        <v>F10</v>
      </c>
      <c r="B217" s="3" t="str">
        <f t="array" ref="B217">INDEX('final-RA-to-framework-summary'!$C$2:$T$2, 1, INT((ROW(B216)-1)/23)+1)</f>
        <v>Stable Baselines3</v>
      </c>
      <c r="C217" s="3" t="str">
        <f t="array" ref="C217">INDEX('final-RA-to-framework-summary'!$B$4:$B$26, MOD(ROW(A216)-1, 23)+1)</f>
        <v>Distributed Execution 
Coordinator</v>
      </c>
      <c r="D217" s="3" t="str">
        <f t="array" ref="D217">INDEX('final-RA-to-framework-summary'!$C$4:$Z$26, MOD(ROW(A216)-1, 23)+1, INT((ROW(A216)-1)/23)+1)</f>
        <v>not implemented</v>
      </c>
      <c r="E217" s="8"/>
      <c r="F217" s="8"/>
      <c r="G217" s="8"/>
      <c r="H217" s="8"/>
      <c r="I217" s="8"/>
      <c r="J217" s="8"/>
      <c r="K217" s="8"/>
      <c r="L217" s="8"/>
      <c r="M217" s="8"/>
      <c r="N217" s="8"/>
      <c r="O217" s="8"/>
      <c r="P217" s="8"/>
      <c r="Q217" s="8"/>
      <c r="R217" s="8"/>
      <c r="S217" s="8"/>
      <c r="T217" s="8"/>
      <c r="U217" s="8"/>
      <c r="V217" s="8"/>
      <c r="W217" s="8"/>
      <c r="X217" s="8"/>
      <c r="Y217" s="8"/>
      <c r="Z217" s="8"/>
    </row>
    <row r="218">
      <c r="A218" s="3" t="str">
        <f t="array" ref="A218">INDEX('final-RA-to-framework-summary'!$C$1:$T$1, 1, INT((ROW(A217)-1)/23)+1)</f>
        <v>F10</v>
      </c>
      <c r="B218" s="3" t="str">
        <f t="array" ref="B218">INDEX('final-RA-to-framework-summary'!$C$2:$T$2, 1, INT((ROW(B217)-1)/23)+1)</f>
        <v>Stable Baselines3</v>
      </c>
      <c r="C218" s="3" t="str">
        <f t="array" ref="C218">INDEX('final-RA-to-framework-summary'!$B$4:$B$26, MOD(ROW(A217)-1, 23)+1)</f>
        <v>Agent</v>
      </c>
      <c r="D218" s="3" t="str">
        <f t="array" ref="D218">INDEX('final-RA-to-framework-summary'!$C$4:$Z$26, MOD(ROW(A217)-1, 23)+1, INT((ROW(A217)-1)/23)+1)</f>
        <v>explicit</v>
      </c>
      <c r="E218" s="14" t="s">
        <v>304</v>
      </c>
      <c r="F218" s="10" t="s">
        <v>305</v>
      </c>
      <c r="G218" s="10" t="s">
        <v>306</v>
      </c>
      <c r="H218" s="8"/>
      <c r="I218" s="8"/>
      <c r="J218" s="8"/>
      <c r="K218" s="8"/>
      <c r="L218" s="8"/>
      <c r="M218" s="8"/>
      <c r="N218" s="8"/>
      <c r="O218" s="8"/>
      <c r="P218" s="8"/>
      <c r="Q218" s="8"/>
      <c r="R218" s="8"/>
      <c r="S218" s="8"/>
      <c r="T218" s="8"/>
      <c r="U218" s="8"/>
      <c r="V218" s="8"/>
      <c r="W218" s="8"/>
      <c r="X218" s="8"/>
      <c r="Y218" s="8"/>
      <c r="Z218" s="8"/>
    </row>
    <row r="219">
      <c r="A219" s="3" t="str">
        <f t="array" ref="A219">INDEX('final-RA-to-framework-summary'!$C$1:$T$1, 1, INT((ROW(A218)-1)/23)+1)</f>
        <v>F10</v>
      </c>
      <c r="B219" s="3" t="str">
        <f t="array" ref="B219">INDEX('final-RA-to-framework-summary'!$C$2:$T$2, 1, INT((ROW(B218)-1)/23)+1)</f>
        <v>Stable Baselines3</v>
      </c>
      <c r="C219" s="3" t="str">
        <f t="array" ref="C219">INDEX('final-RA-to-framework-summary'!$B$4:$B$26, MOD(ROW(A218)-1, 23)+1)</f>
        <v>Function Approximator</v>
      </c>
      <c r="D219" s="3" t="str">
        <f t="array" ref="D219">INDEX('final-RA-to-framework-summary'!$C$4:$Z$26, MOD(ROW(A218)-1, 23)+1, INT((ROW(A218)-1)/23)+1)</f>
        <v>explicit</v>
      </c>
      <c r="E219" s="9" t="s">
        <v>307</v>
      </c>
      <c r="F219" s="10" t="s">
        <v>308</v>
      </c>
      <c r="G219" s="8"/>
      <c r="H219" s="8"/>
      <c r="I219" s="8"/>
      <c r="J219" s="8"/>
      <c r="K219" s="8"/>
      <c r="L219" s="8"/>
      <c r="M219" s="8"/>
      <c r="N219" s="8"/>
      <c r="O219" s="8"/>
      <c r="P219" s="8"/>
      <c r="Q219" s="8"/>
      <c r="R219" s="8"/>
      <c r="S219" s="8"/>
      <c r="T219" s="8"/>
      <c r="U219" s="8"/>
      <c r="V219" s="8"/>
      <c r="W219" s="8"/>
      <c r="X219" s="8"/>
      <c r="Y219" s="8"/>
      <c r="Z219" s="8"/>
    </row>
    <row r="220">
      <c r="A220" s="3" t="str">
        <f t="array" ref="A220">INDEX('final-RA-to-framework-summary'!$C$1:$T$1, 1, INT((ROW(A219)-1)/23)+1)</f>
        <v>F10</v>
      </c>
      <c r="B220" s="3" t="str">
        <f t="array" ref="B220">INDEX('final-RA-to-framework-summary'!$C$2:$T$2, 1, INT((ROW(B219)-1)/23)+1)</f>
        <v>Stable Baselines3</v>
      </c>
      <c r="C220" s="3" t="str">
        <f t="array" ref="C220">INDEX('final-RA-to-framework-summary'!$B$4:$B$26, MOD(ROW(A219)-1, 23)+1)</f>
        <v>Buffer</v>
      </c>
      <c r="D220" s="3" t="str">
        <f t="array" ref="D220">INDEX('final-RA-to-framework-summary'!$C$4:$Z$26, MOD(ROW(A219)-1, 23)+1, INT((ROW(A219)-1)/23)+1)</f>
        <v>explicit</v>
      </c>
      <c r="E220" s="9" t="s">
        <v>309</v>
      </c>
      <c r="F220" s="10" t="s">
        <v>310</v>
      </c>
      <c r="G220" s="10" t="s">
        <v>311</v>
      </c>
      <c r="H220" s="8"/>
      <c r="I220" s="8"/>
      <c r="J220" s="8"/>
      <c r="K220" s="8"/>
      <c r="L220" s="8"/>
      <c r="M220" s="8"/>
      <c r="N220" s="8"/>
      <c r="O220" s="8"/>
      <c r="P220" s="8"/>
      <c r="Q220" s="8"/>
      <c r="R220" s="8"/>
      <c r="S220" s="8"/>
      <c r="T220" s="8"/>
      <c r="U220" s="8"/>
      <c r="V220" s="8"/>
      <c r="W220" s="8"/>
      <c r="X220" s="8"/>
      <c r="Y220" s="8"/>
      <c r="Z220" s="8"/>
    </row>
    <row r="221">
      <c r="A221" s="3" t="str">
        <f t="array" ref="A221">INDEX('final-RA-to-framework-summary'!$C$1:$T$1, 1, INT((ROW(A220)-1)/23)+1)</f>
        <v>F10</v>
      </c>
      <c r="B221" s="3" t="str">
        <f t="array" ref="B221">INDEX('final-RA-to-framework-summary'!$C$2:$T$2, 1, INT((ROW(B220)-1)/23)+1)</f>
        <v>Stable Baselines3</v>
      </c>
      <c r="C221" s="3" t="str">
        <f t="array" ref="C221">INDEX('final-RA-to-framework-summary'!$B$4:$B$26, MOD(ROW(A220)-1, 23)+1)</f>
        <v>Learner</v>
      </c>
      <c r="D221" s="3" t="str">
        <f t="array" ref="D221">INDEX('final-RA-to-framework-summary'!$C$4:$Z$26, MOD(ROW(A220)-1, 23)+1, INT((ROW(A220)-1)/23)+1)</f>
        <v>implicit</v>
      </c>
      <c r="E221" s="14" t="s">
        <v>312</v>
      </c>
      <c r="F221" s="10" t="s">
        <v>313</v>
      </c>
      <c r="G221" s="10" t="s">
        <v>314</v>
      </c>
      <c r="H221" s="8"/>
      <c r="I221" s="8"/>
      <c r="J221" s="8"/>
      <c r="K221" s="8"/>
      <c r="L221" s="8"/>
      <c r="M221" s="8"/>
      <c r="N221" s="8"/>
      <c r="O221" s="8"/>
      <c r="P221" s="8"/>
      <c r="Q221" s="8"/>
      <c r="R221" s="8"/>
      <c r="S221" s="8"/>
      <c r="T221" s="8"/>
      <c r="U221" s="8"/>
      <c r="V221" s="8"/>
      <c r="W221" s="8"/>
      <c r="X221" s="8"/>
      <c r="Y221" s="8"/>
      <c r="Z221" s="8"/>
    </row>
    <row r="222">
      <c r="A222" s="3" t="str">
        <f t="array" ref="A222">INDEX('final-RA-to-framework-summary'!$C$1:$T$1, 1, INT((ROW(A221)-1)/23)+1)</f>
        <v>F10</v>
      </c>
      <c r="B222" s="3" t="str">
        <f t="array" ref="B222">INDEX('final-RA-to-framework-summary'!$C$2:$T$2, 1, INT((ROW(B221)-1)/23)+1)</f>
        <v>Stable Baselines3</v>
      </c>
      <c r="C222" s="3" t="str">
        <f t="array" ref="C222">INDEX('final-RA-to-framework-summary'!$B$4:$B$26, MOD(ROW(A221)-1, 23)+1)</f>
        <v>Environment</v>
      </c>
      <c r="D222" s="3" t="str">
        <f t="array" ref="D222">INDEX('final-RA-to-framework-summary'!$C$4:$Z$26, MOD(ROW(A221)-1, 23)+1, INT((ROW(A221)-1)/23)+1)</f>
        <v>not implemented</v>
      </c>
      <c r="E222" s="8"/>
      <c r="F222" s="8"/>
      <c r="G222" s="8"/>
      <c r="H222" s="8"/>
      <c r="I222" s="8"/>
      <c r="J222" s="8"/>
      <c r="K222" s="8"/>
      <c r="L222" s="8"/>
      <c r="M222" s="8"/>
      <c r="N222" s="8"/>
      <c r="O222" s="8"/>
      <c r="P222" s="8"/>
      <c r="Q222" s="8"/>
      <c r="R222" s="8"/>
      <c r="S222" s="8"/>
      <c r="T222" s="8"/>
      <c r="U222" s="8"/>
      <c r="V222" s="8"/>
      <c r="W222" s="8"/>
      <c r="X222" s="8"/>
      <c r="Y222" s="8"/>
      <c r="Z222" s="8"/>
    </row>
    <row r="223">
      <c r="A223" s="3" t="str">
        <f t="array" ref="A223">INDEX('final-RA-to-framework-summary'!$C$1:$T$1, 1, INT((ROW(A222)-1)/23)+1)</f>
        <v>F10</v>
      </c>
      <c r="B223" s="3" t="str">
        <f t="array" ref="B223">INDEX('final-RA-to-framework-summary'!$C$2:$T$2, 1, INT((ROW(B222)-1)/23)+1)</f>
        <v>Stable Baselines3</v>
      </c>
      <c r="C223" s="3" t="str">
        <f t="array" ref="C223">INDEX('final-RA-to-framework-summary'!$B$4:$B$26, MOD(ROW(A222)-1, 23)+1)</f>
        <v>Environment Core</v>
      </c>
      <c r="D223" s="3" t="str">
        <f t="array" ref="D223">INDEX('final-RA-to-framework-summary'!$C$4:$Z$26, MOD(ROW(A222)-1, 23)+1, INT((ROW(A222)-1)/23)+1)</f>
        <v>not implemented</v>
      </c>
      <c r="E223" s="8"/>
      <c r="F223" s="8"/>
      <c r="G223" s="8"/>
      <c r="H223" s="8"/>
      <c r="I223" s="8"/>
      <c r="J223" s="8"/>
      <c r="K223" s="8"/>
      <c r="L223" s="8"/>
      <c r="M223" s="8"/>
      <c r="N223" s="8"/>
      <c r="O223" s="8"/>
      <c r="P223" s="8"/>
      <c r="Q223" s="8"/>
      <c r="R223" s="8"/>
      <c r="S223" s="8"/>
      <c r="T223" s="8"/>
      <c r="U223" s="8"/>
      <c r="V223" s="8"/>
      <c r="W223" s="8"/>
      <c r="X223" s="8"/>
      <c r="Y223" s="8"/>
      <c r="Z223" s="8"/>
    </row>
    <row r="224">
      <c r="A224" s="3" t="str">
        <f t="array" ref="A224">INDEX('final-RA-to-framework-summary'!$C$1:$T$1, 1, INT((ROW(A223)-1)/23)+1)</f>
        <v>F10</v>
      </c>
      <c r="B224" s="3" t="str">
        <f t="array" ref="B224">INDEX('final-RA-to-framework-summary'!$C$2:$T$2, 1, INT((ROW(B223)-1)/23)+1)</f>
        <v>Stable Baselines3</v>
      </c>
      <c r="C224" s="3" t="str">
        <f t="array" ref="C224">INDEX('final-RA-to-framework-summary'!$B$4:$B$26, MOD(ROW(A223)-1, 23)+1)</f>
        <v>Simulator</v>
      </c>
      <c r="D224" s="3" t="str">
        <f t="array" ref="D224">INDEX('final-RA-to-framework-summary'!$C$4:$Z$26, MOD(ROW(A223)-1, 23)+1, INT((ROW(A223)-1)/23)+1)</f>
        <v>not implemented</v>
      </c>
      <c r="E224" s="8"/>
      <c r="F224" s="8"/>
      <c r="G224" s="8"/>
      <c r="H224" s="8"/>
      <c r="I224" s="8"/>
      <c r="J224" s="8"/>
      <c r="K224" s="8"/>
      <c r="L224" s="8"/>
      <c r="M224" s="8"/>
      <c r="N224" s="8"/>
      <c r="O224" s="8"/>
      <c r="P224" s="8"/>
      <c r="Q224" s="8"/>
      <c r="R224" s="8"/>
      <c r="S224" s="8"/>
      <c r="T224" s="8"/>
      <c r="U224" s="8"/>
      <c r="V224" s="8"/>
      <c r="W224" s="8"/>
      <c r="X224" s="8"/>
      <c r="Y224" s="8"/>
      <c r="Z224" s="8"/>
    </row>
    <row r="225">
      <c r="A225" s="3" t="str">
        <f t="array" ref="A225">INDEX('final-RA-to-framework-summary'!$C$1:$T$1, 1, INT((ROW(A224)-1)/23)+1)</f>
        <v>F10</v>
      </c>
      <c r="B225" s="3" t="str">
        <f t="array" ref="B225">INDEX('final-RA-to-framework-summary'!$C$2:$T$2, 1, INT((ROW(B224)-1)/23)+1)</f>
        <v>Stable Baselines3</v>
      </c>
      <c r="C225" s="3" t="str">
        <f t="array" ref="C225">INDEX('final-RA-to-framework-summary'!$B$4:$B$26, MOD(ROW(A224)-1, 23)+1)</f>
        <v>Simulator Adapter</v>
      </c>
      <c r="D225" s="3" t="str">
        <f t="array" ref="D225">INDEX('final-RA-to-framework-summary'!$C$4:$Z$26, MOD(ROW(A224)-1, 23)+1, INT((ROW(A224)-1)/23)+1)</f>
        <v>not implemented</v>
      </c>
      <c r="E225" s="8"/>
      <c r="F225" s="8"/>
      <c r="G225" s="8"/>
      <c r="H225" s="8"/>
      <c r="I225" s="8"/>
      <c r="J225" s="8"/>
      <c r="K225" s="8"/>
      <c r="L225" s="8"/>
      <c r="M225" s="8"/>
      <c r="N225" s="8"/>
      <c r="O225" s="8"/>
      <c r="P225" s="8"/>
      <c r="Q225" s="8"/>
      <c r="R225" s="8"/>
      <c r="S225" s="8"/>
      <c r="T225" s="8"/>
      <c r="U225" s="8"/>
      <c r="V225" s="8"/>
      <c r="W225" s="8"/>
      <c r="X225" s="8"/>
      <c r="Y225" s="8"/>
      <c r="Z225" s="8"/>
    </row>
    <row r="226">
      <c r="A226" s="3" t="str">
        <f t="array" ref="A226">INDEX('final-RA-to-framework-summary'!$C$1:$T$1, 1, INT((ROW(A225)-1)/23)+1)</f>
        <v>F10</v>
      </c>
      <c r="B226" s="3" t="str">
        <f t="array" ref="B226">INDEX('final-RA-to-framework-summary'!$C$2:$T$2, 1, INT((ROW(B225)-1)/23)+1)</f>
        <v>Stable Baselines3</v>
      </c>
      <c r="C226" s="3" t="str">
        <f t="array" ref="C226">INDEX('final-RA-to-framework-summary'!$B$4:$B$26, MOD(ROW(A225)-1, 23)+1)</f>
        <v>Checkpoint Manager</v>
      </c>
      <c r="D226" s="3" t="str">
        <f t="array" ref="D226">INDEX('final-RA-to-framework-summary'!$C$4:$Z$26, MOD(ROW(A225)-1, 23)+1, INT((ROW(A225)-1)/23)+1)</f>
        <v>explicit</v>
      </c>
      <c r="E226" s="9" t="s">
        <v>315</v>
      </c>
      <c r="F226" s="10" t="s">
        <v>316</v>
      </c>
      <c r="G226" s="8"/>
      <c r="H226" s="8"/>
      <c r="I226" s="8"/>
      <c r="J226" s="8"/>
      <c r="K226" s="8"/>
      <c r="L226" s="8"/>
      <c r="M226" s="8"/>
      <c r="N226" s="8"/>
      <c r="O226" s="8"/>
      <c r="P226" s="8"/>
      <c r="Q226" s="8"/>
      <c r="R226" s="8"/>
      <c r="S226" s="8"/>
      <c r="T226" s="8"/>
      <c r="U226" s="8"/>
      <c r="V226" s="8"/>
      <c r="W226" s="8"/>
      <c r="X226" s="8"/>
      <c r="Y226" s="8"/>
      <c r="Z226" s="8"/>
    </row>
    <row r="227">
      <c r="A227" s="3" t="str">
        <f t="array" ref="A227">INDEX('final-RA-to-framework-summary'!$C$1:$T$1, 1, INT((ROW(A226)-1)/23)+1)</f>
        <v>F10</v>
      </c>
      <c r="B227" s="3" t="str">
        <f t="array" ref="B227">INDEX('final-RA-to-framework-summary'!$C$2:$T$2, 1, INT((ROW(B226)-1)/23)+1)</f>
        <v>Stable Baselines3</v>
      </c>
      <c r="C227" s="3" t="str">
        <f t="array" ref="C227">INDEX('final-RA-to-framework-summary'!$B$4:$B$26, MOD(ROW(A226)-1, 23)+1)</f>
        <v>Environment Parameter 
Manager</v>
      </c>
      <c r="D227" s="3" t="str">
        <f t="array" ref="D227">INDEX('final-RA-to-framework-summary'!$C$4:$Z$26, MOD(ROW(A226)-1, 23)+1, INT((ROW(A226)-1)/23)+1)</f>
        <v>not implemented</v>
      </c>
      <c r="E227" s="8"/>
      <c r="F227" s="8"/>
      <c r="G227" s="8"/>
      <c r="H227" s="8"/>
      <c r="I227" s="8"/>
      <c r="J227" s="8"/>
      <c r="K227" s="8"/>
      <c r="L227" s="8"/>
      <c r="M227" s="8"/>
      <c r="N227" s="8"/>
      <c r="O227" s="8"/>
      <c r="P227" s="8"/>
      <c r="Q227" s="8"/>
      <c r="R227" s="8"/>
      <c r="S227" s="8"/>
      <c r="T227" s="8"/>
      <c r="U227" s="8"/>
      <c r="V227" s="8"/>
      <c r="W227" s="8"/>
      <c r="X227" s="8"/>
      <c r="Y227" s="8"/>
      <c r="Z227" s="8"/>
    </row>
    <row r="228">
      <c r="A228" s="3" t="str">
        <f t="array" ref="A228">INDEX('final-RA-to-framework-summary'!$C$1:$T$1, 1, INT((ROW(A227)-1)/23)+1)</f>
        <v>F10</v>
      </c>
      <c r="B228" s="3" t="str">
        <f t="array" ref="B228">INDEX('final-RA-to-framework-summary'!$C$2:$T$2, 1, INT((ROW(B227)-1)/23)+1)</f>
        <v>Stable Baselines3</v>
      </c>
      <c r="C228" s="3" t="str">
        <f t="array" ref="C228">INDEX('final-RA-to-framework-summary'!$B$4:$B$26, MOD(ROW(A227)-1, 23)+1)</f>
        <v>Renderer</v>
      </c>
      <c r="D228" s="3" t="str">
        <f t="array" ref="D228">INDEX('final-RA-to-framework-summary'!$C$4:$Z$26, MOD(ROW(A227)-1, 23)+1, INT((ROW(A227)-1)/23)+1)</f>
        <v>not implemented</v>
      </c>
      <c r="E228" s="8"/>
      <c r="F228" s="8"/>
      <c r="G228" s="8"/>
      <c r="H228" s="8"/>
      <c r="I228" s="8"/>
      <c r="J228" s="8"/>
      <c r="K228" s="8"/>
      <c r="L228" s="8"/>
      <c r="M228" s="8"/>
      <c r="N228" s="8"/>
      <c r="O228" s="8"/>
      <c r="P228" s="8"/>
      <c r="Q228" s="8"/>
      <c r="R228" s="8"/>
      <c r="S228" s="8"/>
      <c r="T228" s="8"/>
      <c r="U228" s="8"/>
      <c r="V228" s="8"/>
      <c r="W228" s="8"/>
      <c r="X228" s="8"/>
      <c r="Y228" s="8"/>
      <c r="Z228" s="8"/>
    </row>
    <row r="229">
      <c r="A229" s="3" t="str">
        <f t="array" ref="A229">INDEX('final-RA-to-framework-summary'!$C$1:$T$1, 1, INT((ROW(A228)-1)/23)+1)</f>
        <v>F10</v>
      </c>
      <c r="B229" s="3" t="str">
        <f t="array" ref="B229">INDEX('final-RA-to-framework-summary'!$C$2:$T$2, 1, INT((ROW(B228)-1)/23)+1)</f>
        <v>Stable Baselines3</v>
      </c>
      <c r="C229" s="3" t="str">
        <f t="array" ref="C229">INDEX('final-RA-to-framework-summary'!$B$4:$B$26, MOD(ROW(A228)-1, 23)+1)</f>
        <v>Recorder</v>
      </c>
      <c r="D229" s="3" t="str">
        <f t="array" ref="D229">INDEX('final-RA-to-framework-summary'!$C$4:$Z$26, MOD(ROW(A228)-1, 23)+1, INT((ROW(A228)-1)/23)+1)</f>
        <v>explicit</v>
      </c>
      <c r="E229" s="9" t="s">
        <v>317</v>
      </c>
      <c r="F229" s="10" t="s">
        <v>318</v>
      </c>
      <c r="G229" s="8"/>
      <c r="H229" s="8"/>
      <c r="I229" s="8"/>
      <c r="J229" s="8"/>
      <c r="K229" s="8"/>
      <c r="L229" s="8"/>
      <c r="M229" s="8"/>
      <c r="N229" s="8"/>
      <c r="O229" s="8"/>
      <c r="P229" s="8"/>
      <c r="Q229" s="8"/>
      <c r="R229" s="8"/>
      <c r="S229" s="8"/>
      <c r="T229" s="8"/>
      <c r="U229" s="8"/>
      <c r="V229" s="8"/>
      <c r="W229" s="8"/>
      <c r="X229" s="8"/>
      <c r="Y229" s="8"/>
      <c r="Z229" s="8"/>
    </row>
    <row r="230">
      <c r="A230" s="3" t="str">
        <f t="array" ref="A230">INDEX('final-RA-to-framework-summary'!$C$1:$T$1, 1, INT((ROW(A229)-1)/23)+1)</f>
        <v>F10</v>
      </c>
      <c r="B230" s="3" t="str">
        <f t="array" ref="B230">INDEX('final-RA-to-framework-summary'!$C$2:$T$2, 1, INT((ROW(B229)-1)/23)+1)</f>
        <v>Stable Baselines3</v>
      </c>
      <c r="C230" s="3" t="str">
        <f t="array" ref="C230">INDEX('final-RA-to-framework-summary'!$B$4:$B$26, MOD(ROW(A229)-1, 23)+1)</f>
        <v>Logger</v>
      </c>
      <c r="D230" s="3" t="str">
        <f t="array" ref="D230">INDEX('final-RA-to-framework-summary'!$C$4:$Z$26, MOD(ROW(A229)-1, 23)+1, INT((ROW(A229)-1)/23)+1)</f>
        <v>explicit</v>
      </c>
      <c r="E230" s="9" t="s">
        <v>319</v>
      </c>
      <c r="F230" s="10" t="s">
        <v>320</v>
      </c>
      <c r="G230" s="8"/>
      <c r="H230" s="8"/>
      <c r="I230" s="8"/>
      <c r="J230" s="8"/>
      <c r="K230" s="8"/>
      <c r="L230" s="8"/>
      <c r="M230" s="8"/>
      <c r="N230" s="8"/>
      <c r="O230" s="8"/>
      <c r="P230" s="8"/>
      <c r="Q230" s="8"/>
      <c r="R230" s="8"/>
      <c r="S230" s="8"/>
      <c r="T230" s="8"/>
      <c r="U230" s="8"/>
      <c r="V230" s="8"/>
      <c r="W230" s="8"/>
      <c r="X230" s="8"/>
      <c r="Y230" s="8"/>
      <c r="Z230" s="8"/>
    </row>
    <row r="231">
      <c r="A231" s="3" t="str">
        <f t="array" ref="A231">INDEX('final-RA-to-framework-summary'!$C$1:$T$1, 1, INT((ROW(A230)-1)/23)+1)</f>
        <v>F10</v>
      </c>
      <c r="B231" s="3" t="str">
        <f t="array" ref="B231">INDEX('final-RA-to-framework-summary'!$C$2:$T$2, 1, INT((ROW(B230)-1)/23)+1)</f>
        <v>Stable Baselines3</v>
      </c>
      <c r="C231" s="3" t="str">
        <f t="array" ref="C231">INDEX('final-RA-to-framework-summary'!$B$4:$B$26, MOD(ROW(A230)-1, 23)+1)</f>
        <v>Reporter</v>
      </c>
      <c r="D231" s="3" t="str">
        <f t="array" ref="D231">INDEX('final-RA-to-framework-summary'!$C$4:$Z$26, MOD(ROW(A230)-1, 23)+1, INT((ROW(A230)-1)/23)+1)</f>
        <v>external</v>
      </c>
      <c r="E231" s="9" t="s">
        <v>321</v>
      </c>
      <c r="F231" s="10" t="s">
        <v>322</v>
      </c>
      <c r="G231" s="10"/>
      <c r="H231" s="10" t="s">
        <v>203</v>
      </c>
      <c r="I231" s="8"/>
      <c r="J231" s="8"/>
      <c r="K231" s="8"/>
      <c r="L231" s="8"/>
      <c r="M231" s="8"/>
      <c r="N231" s="8"/>
      <c r="O231" s="8"/>
      <c r="P231" s="8"/>
      <c r="Q231" s="8"/>
      <c r="R231" s="8"/>
      <c r="S231" s="8"/>
      <c r="T231" s="8"/>
      <c r="U231" s="8"/>
      <c r="V231" s="8"/>
      <c r="W231" s="8"/>
      <c r="X231" s="8"/>
      <c r="Y231" s="8"/>
      <c r="Z231" s="8"/>
    </row>
    <row r="232">
      <c r="A232" s="3" t="str">
        <f t="array" ref="A232">INDEX('final-RA-to-framework-summary'!$C$1:$T$1, 1, INT((ROW(A231)-1)/23)+1)</f>
        <v>F11</v>
      </c>
      <c r="B232" s="3" t="str">
        <f t="array" ref="B232">INDEX('final-RA-to-framework-summary'!$C$2:$T$2, 1, INT((ROW(B231)-1)/23)+1)</f>
        <v>RL Baselines3 Zoo</v>
      </c>
      <c r="C232" s="3" t="str">
        <f t="array" ref="C232">INDEX('final-RA-to-framework-summary'!$B$4:$B$26, MOD(ROW(A231)-1, 23)+1)</f>
        <v>Experiment Orchestrator</v>
      </c>
      <c r="D232" s="3" t="str">
        <f t="array" ref="D232">INDEX('final-RA-to-framework-summary'!$C$4:$Z$26, MOD(ROW(A231)-1, 23)+1, INT((ROW(A231)-1)/23)+1)</f>
        <v>implicit</v>
      </c>
      <c r="E232" s="14" t="s">
        <v>323</v>
      </c>
      <c r="F232" s="10" t="s">
        <v>324</v>
      </c>
      <c r="G232" s="8"/>
      <c r="H232" s="8"/>
      <c r="I232" s="8"/>
      <c r="J232" s="8"/>
      <c r="K232" s="8"/>
      <c r="L232" s="8"/>
      <c r="M232" s="8"/>
      <c r="N232" s="8"/>
      <c r="O232" s="8"/>
      <c r="P232" s="8"/>
      <c r="Q232" s="8"/>
      <c r="R232" s="8"/>
      <c r="S232" s="8"/>
      <c r="T232" s="8"/>
      <c r="U232" s="8"/>
      <c r="V232" s="8"/>
      <c r="W232" s="8"/>
      <c r="X232" s="8"/>
      <c r="Y232" s="8"/>
      <c r="Z232" s="8"/>
    </row>
    <row r="233">
      <c r="A233" s="3" t="str">
        <f t="array" ref="A233">INDEX('final-RA-to-framework-summary'!$C$1:$T$1, 1, INT((ROW(A232)-1)/23)+1)</f>
        <v>F11</v>
      </c>
      <c r="B233" s="3" t="str">
        <f t="array" ref="B233">INDEX('final-RA-to-framework-summary'!$C$2:$T$2, 1, INT((ROW(B232)-1)/23)+1)</f>
        <v>RL Baselines3 Zoo</v>
      </c>
      <c r="C233" s="3" t="str">
        <f t="array" ref="C233">INDEX('final-RA-to-framework-summary'!$B$4:$B$26, MOD(ROW(A232)-1, 23)+1)</f>
        <v>Experiment Manager</v>
      </c>
      <c r="D233" s="3" t="str">
        <f t="array" ref="D233">INDEX('final-RA-to-framework-summary'!$C$4:$Z$26, MOD(ROW(A232)-1, 23)+1, INT((ROW(A232)-1)/23)+1)</f>
        <v>explicit</v>
      </c>
      <c r="E233" s="9" t="s">
        <v>325</v>
      </c>
      <c r="F233" s="10" t="s">
        <v>326</v>
      </c>
      <c r="G233" s="10" t="s">
        <v>327</v>
      </c>
      <c r="H233" s="8"/>
      <c r="I233" s="8"/>
      <c r="J233" s="8"/>
      <c r="K233" s="8"/>
      <c r="L233" s="8"/>
      <c r="M233" s="8"/>
      <c r="N233" s="8"/>
      <c r="O233" s="8"/>
      <c r="P233" s="8"/>
      <c r="Q233" s="8"/>
      <c r="R233" s="8"/>
      <c r="S233" s="8"/>
      <c r="T233" s="8"/>
      <c r="U233" s="8"/>
      <c r="V233" s="8"/>
      <c r="W233" s="8"/>
      <c r="X233" s="8"/>
      <c r="Y233" s="8"/>
      <c r="Z233" s="8"/>
    </row>
    <row r="234">
      <c r="A234" s="3" t="str">
        <f t="array" ref="A234">INDEX('final-RA-to-framework-summary'!$C$1:$T$1, 1, INT((ROW(A233)-1)/23)+1)</f>
        <v>F11</v>
      </c>
      <c r="B234" s="3" t="str">
        <f t="array" ref="B234">INDEX('final-RA-to-framework-summary'!$C$2:$T$2, 1, INT((ROW(B233)-1)/23)+1)</f>
        <v>RL Baselines3 Zoo</v>
      </c>
      <c r="C234" s="3" t="str">
        <f t="array" ref="C234">INDEX('final-RA-to-framework-summary'!$B$4:$B$26, MOD(ROW(A233)-1, 23)+1)</f>
        <v>Hyperparameter Tuner</v>
      </c>
      <c r="D234" s="3" t="str">
        <f t="array" ref="D234">INDEX('final-RA-to-framework-summary'!$C$4:$Z$26, MOD(ROW(A233)-1, 23)+1, INT((ROW(A233)-1)/23)+1)</f>
        <v>external</v>
      </c>
      <c r="E234" s="9" t="s">
        <v>328</v>
      </c>
      <c r="F234" s="10" t="s">
        <v>329</v>
      </c>
      <c r="G234" s="10"/>
      <c r="H234" s="10" t="s">
        <v>330</v>
      </c>
      <c r="I234" s="8"/>
      <c r="J234" s="8"/>
      <c r="K234" s="8"/>
      <c r="L234" s="8"/>
      <c r="M234" s="8"/>
      <c r="N234" s="8"/>
      <c r="O234" s="8"/>
      <c r="P234" s="8"/>
      <c r="Q234" s="8"/>
      <c r="R234" s="8"/>
      <c r="S234" s="8"/>
      <c r="T234" s="8"/>
      <c r="U234" s="8"/>
      <c r="V234" s="8"/>
      <c r="W234" s="8"/>
      <c r="X234" s="8"/>
      <c r="Y234" s="8"/>
      <c r="Z234" s="8"/>
    </row>
    <row r="235">
      <c r="A235" s="3" t="str">
        <f t="array" ref="A235">INDEX('final-RA-to-framework-summary'!$C$1:$T$1, 1, INT((ROW(A234)-1)/23)+1)</f>
        <v>F11</v>
      </c>
      <c r="B235" s="3" t="str">
        <f t="array" ref="B235">INDEX('final-RA-to-framework-summary'!$C$2:$T$2, 1, INT((ROW(B234)-1)/23)+1)</f>
        <v>RL Baselines3 Zoo</v>
      </c>
      <c r="C235" s="3" t="str">
        <f t="array" ref="C235">INDEX('final-RA-to-framework-summary'!$B$4:$B$26, MOD(ROW(A234)-1, 23)+1)</f>
        <v>Benchmark Manager</v>
      </c>
      <c r="D235" s="3" t="str">
        <f t="array" ref="D235">INDEX('final-RA-to-framework-summary'!$C$4:$Z$26, MOD(ROW(A234)-1, 23)+1, INT((ROW(A234)-1)/23)+1)</f>
        <v>not implemented</v>
      </c>
      <c r="E235" s="8"/>
      <c r="F235" s="8"/>
      <c r="G235" s="8"/>
      <c r="H235" s="8"/>
      <c r="I235" s="8"/>
      <c r="J235" s="8"/>
      <c r="K235" s="8"/>
      <c r="L235" s="8"/>
      <c r="M235" s="8"/>
      <c r="N235" s="8"/>
      <c r="O235" s="8"/>
      <c r="P235" s="8"/>
      <c r="Q235" s="8"/>
      <c r="R235" s="8"/>
      <c r="S235" s="8"/>
      <c r="T235" s="8"/>
      <c r="U235" s="8"/>
      <c r="V235" s="8"/>
      <c r="W235" s="8"/>
      <c r="X235" s="8"/>
      <c r="Y235" s="8"/>
      <c r="Z235" s="8"/>
    </row>
    <row r="236">
      <c r="A236" s="3" t="str">
        <f t="array" ref="A236">INDEX('final-RA-to-framework-summary'!$C$1:$T$1, 1, INT((ROW(A235)-1)/23)+1)</f>
        <v>F11</v>
      </c>
      <c r="B236" s="3" t="str">
        <f t="array" ref="B236">INDEX('final-RA-to-framework-summary'!$C$2:$T$2, 1, INT((ROW(B235)-1)/23)+1)</f>
        <v>RL Baselines3 Zoo</v>
      </c>
      <c r="C236" s="3" t="str">
        <f t="array" ref="C236">INDEX('final-RA-to-framework-summary'!$B$4:$B$26, MOD(ROW(A235)-1, 23)+1)</f>
        <v>Framework Orchestrator</v>
      </c>
      <c r="D236" s="3" t="str">
        <f t="array" ref="D236">INDEX('final-RA-to-framework-summary'!$C$4:$Z$26, MOD(ROW(A235)-1, 23)+1, INT((ROW(A235)-1)/23)+1)</f>
        <v>external</v>
      </c>
      <c r="E236" s="14" t="s">
        <v>331</v>
      </c>
      <c r="F236" s="10" t="s">
        <v>332</v>
      </c>
      <c r="G236" s="8"/>
      <c r="H236" s="10" t="s">
        <v>333</v>
      </c>
      <c r="I236" s="8"/>
      <c r="J236" s="8"/>
      <c r="K236" s="8"/>
      <c r="L236" s="8"/>
      <c r="M236" s="8"/>
      <c r="N236" s="8"/>
      <c r="O236" s="8"/>
      <c r="P236" s="8"/>
      <c r="Q236" s="8"/>
      <c r="R236" s="8"/>
      <c r="S236" s="8"/>
      <c r="T236" s="8"/>
      <c r="U236" s="8"/>
      <c r="V236" s="8"/>
      <c r="W236" s="8"/>
      <c r="X236" s="8"/>
      <c r="Y236" s="8"/>
      <c r="Z236" s="8"/>
    </row>
    <row r="237">
      <c r="A237" s="3" t="str">
        <f t="array" ref="A237">INDEX('final-RA-to-framework-summary'!$C$1:$T$1, 1, INT((ROW(A236)-1)/23)+1)</f>
        <v>F11</v>
      </c>
      <c r="B237" s="3" t="str">
        <f t="array" ref="B237">INDEX('final-RA-to-framework-summary'!$C$2:$T$2, 1, INT((ROW(B236)-1)/23)+1)</f>
        <v>RL Baselines3 Zoo</v>
      </c>
      <c r="C237" s="3" t="str">
        <f t="array" ref="C237">INDEX('final-RA-to-framework-summary'!$B$4:$B$26, MOD(ROW(A236)-1, 23)+1)</f>
        <v>Lifecycle Manager</v>
      </c>
      <c r="D237" s="3" t="str">
        <f t="array" ref="D237">INDEX('final-RA-to-framework-summary'!$C$4:$Z$26, MOD(ROW(A236)-1, 23)+1, INT((ROW(A236)-1)/23)+1)</f>
        <v>external</v>
      </c>
      <c r="E237" s="14" t="s">
        <v>331</v>
      </c>
      <c r="F237" s="10" t="s">
        <v>332</v>
      </c>
      <c r="G237" s="8"/>
      <c r="H237" s="10" t="s">
        <v>333</v>
      </c>
      <c r="I237" s="8"/>
      <c r="J237" s="8"/>
      <c r="K237" s="8"/>
      <c r="L237" s="8"/>
      <c r="M237" s="8"/>
      <c r="N237" s="8"/>
      <c r="O237" s="8"/>
      <c r="P237" s="8"/>
      <c r="Q237" s="8"/>
      <c r="R237" s="8"/>
      <c r="S237" s="8"/>
      <c r="T237" s="8"/>
      <c r="U237" s="8"/>
      <c r="V237" s="8"/>
      <c r="W237" s="8"/>
      <c r="X237" s="8"/>
      <c r="Y237" s="8"/>
      <c r="Z237" s="8"/>
    </row>
    <row r="238">
      <c r="A238" s="3" t="str">
        <f t="array" ref="A238">INDEX('final-RA-to-framework-summary'!$C$1:$T$1, 1, INT((ROW(A237)-1)/23)+1)</f>
        <v>F11</v>
      </c>
      <c r="B238" s="3" t="str">
        <f t="array" ref="B238">INDEX('final-RA-to-framework-summary'!$C$2:$T$2, 1, INT((ROW(B237)-1)/23)+1)</f>
        <v>RL Baselines3 Zoo</v>
      </c>
      <c r="C238" s="3" t="str">
        <f t="array" ref="C238">INDEX('final-RA-to-framework-summary'!$B$4:$B$26, MOD(ROW(A237)-1, 23)+1)</f>
        <v>Configuration Manager</v>
      </c>
      <c r="D238" s="3" t="str">
        <f t="array" ref="D238">INDEX('final-RA-to-framework-summary'!$C$4:$Z$26, MOD(ROW(A237)-1, 23)+1, INT((ROW(A237)-1)/23)+1)</f>
        <v>not implemented</v>
      </c>
      <c r="E238" s="8"/>
      <c r="F238" s="8"/>
      <c r="G238" s="8"/>
      <c r="H238" s="8"/>
      <c r="I238" s="8"/>
      <c r="J238" s="8"/>
      <c r="K238" s="8"/>
      <c r="L238" s="8"/>
      <c r="M238" s="8"/>
      <c r="N238" s="8"/>
      <c r="O238" s="8"/>
      <c r="P238" s="8"/>
      <c r="Q238" s="8"/>
      <c r="R238" s="8"/>
      <c r="S238" s="8"/>
      <c r="T238" s="8"/>
      <c r="U238" s="8"/>
      <c r="V238" s="8"/>
      <c r="W238" s="8"/>
      <c r="X238" s="8"/>
      <c r="Y238" s="8"/>
      <c r="Z238" s="8"/>
    </row>
    <row r="239">
      <c r="A239" s="3" t="str">
        <f t="array" ref="A239">INDEX('final-RA-to-framework-summary'!$C$1:$T$1, 1, INT((ROW(A238)-1)/23)+1)</f>
        <v>F11</v>
      </c>
      <c r="B239" s="3" t="str">
        <f t="array" ref="B239">INDEX('final-RA-to-framework-summary'!$C$2:$T$2, 1, INT((ROW(B238)-1)/23)+1)</f>
        <v>RL Baselines3 Zoo</v>
      </c>
      <c r="C239" s="3" t="str">
        <f t="array" ref="C239">INDEX('final-RA-to-framework-summary'!$B$4:$B$26, MOD(ROW(A238)-1, 23)+1)</f>
        <v>Multi-Agent Coordinator</v>
      </c>
      <c r="D239" s="3" t="str">
        <f t="array" ref="D239">INDEX('final-RA-to-framework-summary'!$C$4:$Z$26, MOD(ROW(A238)-1, 23)+1, INT((ROW(A238)-1)/23)+1)</f>
        <v>not implemented</v>
      </c>
      <c r="E239" s="8"/>
      <c r="F239" s="8"/>
      <c r="G239" s="8"/>
      <c r="H239" s="8"/>
      <c r="I239" s="8"/>
      <c r="J239" s="8"/>
      <c r="K239" s="8"/>
      <c r="L239" s="8"/>
      <c r="M239" s="8"/>
      <c r="N239" s="8"/>
      <c r="O239" s="8"/>
      <c r="P239" s="8"/>
      <c r="Q239" s="8"/>
      <c r="R239" s="8"/>
      <c r="S239" s="8"/>
      <c r="T239" s="8"/>
      <c r="U239" s="8"/>
      <c r="V239" s="8"/>
      <c r="W239" s="8"/>
      <c r="X239" s="8"/>
      <c r="Y239" s="8"/>
      <c r="Z239" s="8"/>
    </row>
    <row r="240">
      <c r="A240" s="3" t="str">
        <f t="array" ref="A240">INDEX('final-RA-to-framework-summary'!$C$1:$T$1, 1, INT((ROW(A239)-1)/23)+1)</f>
        <v>F11</v>
      </c>
      <c r="B240" s="3" t="str">
        <f t="array" ref="B240">INDEX('final-RA-to-framework-summary'!$C$2:$T$2, 1, INT((ROW(B239)-1)/23)+1)</f>
        <v>RL Baselines3 Zoo</v>
      </c>
      <c r="C240" s="3" t="str">
        <f t="array" ref="C240">INDEX('final-RA-to-framework-summary'!$B$4:$B$26, MOD(ROW(A239)-1, 23)+1)</f>
        <v>Distributed Execution 
Coordinator</v>
      </c>
      <c r="D240" s="3" t="str">
        <f t="array" ref="D240">INDEX('final-RA-to-framework-summary'!$C$4:$Z$26, MOD(ROW(A239)-1, 23)+1, INT((ROW(A239)-1)/23)+1)</f>
        <v>not implemented</v>
      </c>
      <c r="E240" s="8"/>
      <c r="F240" s="8"/>
      <c r="G240" s="8"/>
      <c r="H240" s="8"/>
      <c r="I240" s="8"/>
      <c r="J240" s="8"/>
      <c r="K240" s="8"/>
      <c r="L240" s="8"/>
      <c r="M240" s="8"/>
      <c r="N240" s="8"/>
      <c r="O240" s="8"/>
      <c r="P240" s="8"/>
      <c r="Q240" s="8"/>
      <c r="R240" s="8"/>
      <c r="S240" s="8"/>
      <c r="T240" s="8"/>
      <c r="U240" s="8"/>
      <c r="V240" s="8"/>
      <c r="W240" s="8"/>
      <c r="X240" s="8"/>
      <c r="Y240" s="8"/>
      <c r="Z240" s="8"/>
    </row>
    <row r="241">
      <c r="A241" s="3" t="str">
        <f t="array" ref="A241">INDEX('final-RA-to-framework-summary'!$C$1:$T$1, 1, INT((ROW(A240)-1)/23)+1)</f>
        <v>F11</v>
      </c>
      <c r="B241" s="3" t="str">
        <f t="array" ref="B241">INDEX('final-RA-to-framework-summary'!$C$2:$T$2, 1, INT((ROW(B240)-1)/23)+1)</f>
        <v>RL Baselines3 Zoo</v>
      </c>
      <c r="C241" s="3" t="str">
        <f t="array" ref="C241">INDEX('final-RA-to-framework-summary'!$B$4:$B$26, MOD(ROW(A240)-1, 23)+1)</f>
        <v>Agent</v>
      </c>
      <c r="D241" s="3" t="str">
        <f t="array" ref="D241">INDEX('final-RA-to-framework-summary'!$C$4:$Z$26, MOD(ROW(A240)-1, 23)+1, INT((ROW(A240)-1)/23)+1)</f>
        <v>external</v>
      </c>
      <c r="E241" s="14" t="s">
        <v>331</v>
      </c>
      <c r="F241" s="10" t="s">
        <v>332</v>
      </c>
      <c r="G241" s="8"/>
      <c r="H241" s="10" t="s">
        <v>333</v>
      </c>
      <c r="I241" s="8"/>
      <c r="J241" s="8"/>
      <c r="K241" s="8"/>
      <c r="L241" s="8"/>
      <c r="M241" s="8"/>
      <c r="N241" s="8"/>
      <c r="O241" s="8"/>
      <c r="P241" s="8"/>
      <c r="Q241" s="8"/>
      <c r="R241" s="8"/>
      <c r="S241" s="8"/>
      <c r="T241" s="8"/>
      <c r="U241" s="8"/>
      <c r="V241" s="8"/>
      <c r="W241" s="8"/>
      <c r="X241" s="8"/>
      <c r="Y241" s="8"/>
      <c r="Z241" s="8"/>
    </row>
    <row r="242">
      <c r="A242" s="3" t="str">
        <f t="array" ref="A242">INDEX('final-RA-to-framework-summary'!$C$1:$T$1, 1, INT((ROW(A241)-1)/23)+1)</f>
        <v>F11</v>
      </c>
      <c r="B242" s="3" t="str">
        <f t="array" ref="B242">INDEX('final-RA-to-framework-summary'!$C$2:$T$2, 1, INT((ROW(B241)-1)/23)+1)</f>
        <v>RL Baselines3 Zoo</v>
      </c>
      <c r="C242" s="3" t="str">
        <f t="array" ref="C242">INDEX('final-RA-to-framework-summary'!$B$4:$B$26, MOD(ROW(A241)-1, 23)+1)</f>
        <v>Function Approximator</v>
      </c>
      <c r="D242" s="3" t="str">
        <f t="array" ref="D242">INDEX('final-RA-to-framework-summary'!$C$4:$Z$26, MOD(ROW(A241)-1, 23)+1, INT((ROW(A241)-1)/23)+1)</f>
        <v>external</v>
      </c>
      <c r="E242" s="14" t="s">
        <v>331</v>
      </c>
      <c r="F242" s="10" t="s">
        <v>332</v>
      </c>
      <c r="G242" s="8"/>
      <c r="H242" s="10" t="s">
        <v>333</v>
      </c>
      <c r="I242" s="8"/>
      <c r="J242" s="8"/>
      <c r="K242" s="8"/>
      <c r="L242" s="8"/>
      <c r="M242" s="8"/>
      <c r="N242" s="8"/>
      <c r="O242" s="8"/>
      <c r="P242" s="8"/>
      <c r="Q242" s="8"/>
      <c r="R242" s="8"/>
      <c r="S242" s="8"/>
      <c r="T242" s="8"/>
      <c r="U242" s="8"/>
      <c r="V242" s="8"/>
      <c r="W242" s="8"/>
      <c r="X242" s="8"/>
      <c r="Y242" s="8"/>
      <c r="Z242" s="8"/>
    </row>
    <row r="243">
      <c r="A243" s="3" t="str">
        <f t="array" ref="A243">INDEX('final-RA-to-framework-summary'!$C$1:$T$1, 1, INT((ROW(A242)-1)/23)+1)</f>
        <v>F11</v>
      </c>
      <c r="B243" s="3" t="str">
        <f t="array" ref="B243">INDEX('final-RA-to-framework-summary'!$C$2:$T$2, 1, INT((ROW(B242)-1)/23)+1)</f>
        <v>RL Baselines3 Zoo</v>
      </c>
      <c r="C243" s="3" t="str">
        <f t="array" ref="C243">INDEX('final-RA-to-framework-summary'!$B$4:$B$26, MOD(ROW(A242)-1, 23)+1)</f>
        <v>Buffer</v>
      </c>
      <c r="D243" s="3" t="str">
        <f t="array" ref="D243">INDEX('final-RA-to-framework-summary'!$C$4:$Z$26, MOD(ROW(A242)-1, 23)+1, INT((ROW(A242)-1)/23)+1)</f>
        <v>external</v>
      </c>
      <c r="E243" s="14" t="s">
        <v>331</v>
      </c>
      <c r="F243" s="10" t="s">
        <v>332</v>
      </c>
      <c r="G243" s="8"/>
      <c r="H243" s="10" t="s">
        <v>333</v>
      </c>
      <c r="I243" s="8"/>
      <c r="J243" s="8"/>
      <c r="K243" s="8"/>
      <c r="L243" s="8"/>
      <c r="M243" s="8"/>
      <c r="N243" s="8"/>
      <c r="O243" s="8"/>
      <c r="P243" s="8"/>
      <c r="Q243" s="8"/>
      <c r="R243" s="8"/>
      <c r="S243" s="8"/>
      <c r="T243" s="8"/>
      <c r="U243" s="8"/>
      <c r="V243" s="8"/>
      <c r="W243" s="8"/>
      <c r="X243" s="8"/>
      <c r="Y243" s="8"/>
      <c r="Z243" s="8"/>
    </row>
    <row r="244">
      <c r="A244" s="3" t="str">
        <f t="array" ref="A244">INDEX('final-RA-to-framework-summary'!$C$1:$T$1, 1, INT((ROW(A243)-1)/23)+1)</f>
        <v>F11</v>
      </c>
      <c r="B244" s="3" t="str">
        <f t="array" ref="B244">INDEX('final-RA-to-framework-summary'!$C$2:$T$2, 1, INT((ROW(B243)-1)/23)+1)</f>
        <v>RL Baselines3 Zoo</v>
      </c>
      <c r="C244" s="3" t="str">
        <f t="array" ref="C244">INDEX('final-RA-to-framework-summary'!$B$4:$B$26, MOD(ROW(A243)-1, 23)+1)</f>
        <v>Learner</v>
      </c>
      <c r="D244" s="3" t="str">
        <f t="array" ref="D244">INDEX('final-RA-to-framework-summary'!$C$4:$Z$26, MOD(ROW(A243)-1, 23)+1, INT((ROW(A243)-1)/23)+1)</f>
        <v>external</v>
      </c>
      <c r="E244" s="14" t="s">
        <v>331</v>
      </c>
      <c r="F244" s="10" t="s">
        <v>332</v>
      </c>
      <c r="G244" s="8"/>
      <c r="H244" s="10" t="s">
        <v>333</v>
      </c>
      <c r="I244" s="8"/>
      <c r="J244" s="8"/>
      <c r="K244" s="8"/>
      <c r="L244" s="8"/>
      <c r="M244" s="8"/>
      <c r="N244" s="8"/>
      <c r="O244" s="8"/>
      <c r="P244" s="8"/>
      <c r="Q244" s="8"/>
      <c r="R244" s="8"/>
      <c r="S244" s="8"/>
      <c r="T244" s="8"/>
      <c r="U244" s="8"/>
      <c r="V244" s="8"/>
      <c r="W244" s="8"/>
      <c r="X244" s="8"/>
      <c r="Y244" s="8"/>
      <c r="Z244" s="8"/>
    </row>
    <row r="245">
      <c r="A245" s="3" t="str">
        <f t="array" ref="A245">INDEX('final-RA-to-framework-summary'!$C$1:$T$1, 1, INT((ROW(A244)-1)/23)+1)</f>
        <v>F11</v>
      </c>
      <c r="B245" s="3" t="str">
        <f t="array" ref="B245">INDEX('final-RA-to-framework-summary'!$C$2:$T$2, 1, INT((ROW(B244)-1)/23)+1)</f>
        <v>RL Baselines3 Zoo</v>
      </c>
      <c r="C245" s="3" t="str">
        <f t="array" ref="C245">INDEX('final-RA-to-framework-summary'!$B$4:$B$26, MOD(ROW(A244)-1, 23)+1)</f>
        <v>Environment</v>
      </c>
      <c r="D245" s="3" t="str">
        <f t="array" ref="D245">INDEX('final-RA-to-framework-summary'!$C$4:$Z$26, MOD(ROW(A244)-1, 23)+1, INT((ROW(A244)-1)/23)+1)</f>
        <v>not implemented</v>
      </c>
      <c r="E245" s="8"/>
      <c r="F245" s="8"/>
      <c r="G245" s="8"/>
      <c r="H245" s="8"/>
      <c r="I245" s="8"/>
      <c r="J245" s="8"/>
      <c r="K245" s="8"/>
      <c r="L245" s="8"/>
      <c r="M245" s="8"/>
      <c r="N245" s="8"/>
      <c r="O245" s="8"/>
      <c r="P245" s="8"/>
      <c r="Q245" s="8"/>
      <c r="R245" s="8"/>
      <c r="S245" s="8"/>
      <c r="T245" s="8"/>
      <c r="U245" s="8"/>
      <c r="V245" s="8"/>
      <c r="W245" s="8"/>
      <c r="X245" s="8"/>
      <c r="Y245" s="8"/>
      <c r="Z245" s="8"/>
    </row>
    <row r="246">
      <c r="A246" s="3" t="str">
        <f t="array" ref="A246">INDEX('final-RA-to-framework-summary'!$C$1:$T$1, 1, INT((ROW(A245)-1)/23)+1)</f>
        <v>F11</v>
      </c>
      <c r="B246" s="3" t="str">
        <f t="array" ref="B246">INDEX('final-RA-to-framework-summary'!$C$2:$T$2, 1, INT((ROW(B245)-1)/23)+1)</f>
        <v>RL Baselines3 Zoo</v>
      </c>
      <c r="C246" s="3" t="str">
        <f t="array" ref="C246">INDEX('final-RA-to-framework-summary'!$B$4:$B$26, MOD(ROW(A245)-1, 23)+1)</f>
        <v>Environment Core</v>
      </c>
      <c r="D246" s="3" t="str">
        <f t="array" ref="D246">INDEX('final-RA-to-framework-summary'!$C$4:$Z$26, MOD(ROW(A245)-1, 23)+1, INT((ROW(A245)-1)/23)+1)</f>
        <v>not implemented</v>
      </c>
      <c r="E246" s="8"/>
      <c r="F246" s="8"/>
      <c r="G246" s="8"/>
      <c r="H246" s="8"/>
      <c r="I246" s="8"/>
      <c r="J246" s="8"/>
      <c r="K246" s="8"/>
      <c r="L246" s="8"/>
      <c r="M246" s="8"/>
      <c r="N246" s="8"/>
      <c r="O246" s="8"/>
      <c r="P246" s="8"/>
      <c r="Q246" s="8"/>
      <c r="R246" s="8"/>
      <c r="S246" s="8"/>
      <c r="T246" s="8"/>
      <c r="U246" s="8"/>
      <c r="V246" s="8"/>
      <c r="W246" s="8"/>
      <c r="X246" s="8"/>
      <c r="Y246" s="8"/>
      <c r="Z246" s="8"/>
    </row>
    <row r="247">
      <c r="A247" s="3" t="str">
        <f t="array" ref="A247">INDEX('final-RA-to-framework-summary'!$C$1:$T$1, 1, INT((ROW(A246)-1)/23)+1)</f>
        <v>F11</v>
      </c>
      <c r="B247" s="3" t="str">
        <f t="array" ref="B247">INDEX('final-RA-to-framework-summary'!$C$2:$T$2, 1, INT((ROW(B246)-1)/23)+1)</f>
        <v>RL Baselines3 Zoo</v>
      </c>
      <c r="C247" s="3" t="str">
        <f t="array" ref="C247">INDEX('final-RA-to-framework-summary'!$B$4:$B$26, MOD(ROW(A246)-1, 23)+1)</f>
        <v>Simulator</v>
      </c>
      <c r="D247" s="3" t="str">
        <f t="array" ref="D247">INDEX('final-RA-to-framework-summary'!$C$4:$Z$26, MOD(ROW(A246)-1, 23)+1, INT((ROW(A246)-1)/23)+1)</f>
        <v>not implemented</v>
      </c>
      <c r="E247" s="8"/>
      <c r="F247" s="8"/>
      <c r="G247" s="8"/>
      <c r="H247" s="8"/>
      <c r="I247" s="8"/>
      <c r="J247" s="8"/>
      <c r="K247" s="8"/>
      <c r="L247" s="8"/>
      <c r="M247" s="8"/>
      <c r="N247" s="8"/>
      <c r="O247" s="8"/>
      <c r="P247" s="8"/>
      <c r="Q247" s="8"/>
      <c r="R247" s="8"/>
      <c r="S247" s="8"/>
      <c r="T247" s="8"/>
      <c r="U247" s="8"/>
      <c r="V247" s="8"/>
      <c r="W247" s="8"/>
      <c r="X247" s="8"/>
      <c r="Y247" s="8"/>
      <c r="Z247" s="8"/>
    </row>
    <row r="248">
      <c r="A248" s="3" t="str">
        <f t="array" ref="A248">INDEX('final-RA-to-framework-summary'!$C$1:$T$1, 1, INT((ROW(A247)-1)/23)+1)</f>
        <v>F11</v>
      </c>
      <c r="B248" s="3" t="str">
        <f t="array" ref="B248">INDEX('final-RA-to-framework-summary'!$C$2:$T$2, 1, INT((ROW(B247)-1)/23)+1)</f>
        <v>RL Baselines3 Zoo</v>
      </c>
      <c r="C248" s="3" t="str">
        <f t="array" ref="C248">INDEX('final-RA-to-framework-summary'!$B$4:$B$26, MOD(ROW(A247)-1, 23)+1)</f>
        <v>Simulator Adapter</v>
      </c>
      <c r="D248" s="3" t="str">
        <f t="array" ref="D248">INDEX('final-RA-to-framework-summary'!$C$4:$Z$26, MOD(ROW(A247)-1, 23)+1, INT((ROW(A247)-1)/23)+1)</f>
        <v>not implemented</v>
      </c>
      <c r="E248" s="8"/>
      <c r="F248" s="8"/>
      <c r="G248" s="8"/>
      <c r="H248" s="8"/>
      <c r="I248" s="8"/>
      <c r="J248" s="8"/>
      <c r="K248" s="8"/>
      <c r="L248" s="8"/>
      <c r="M248" s="8"/>
      <c r="N248" s="8"/>
      <c r="O248" s="8"/>
      <c r="P248" s="8"/>
      <c r="Q248" s="8"/>
      <c r="R248" s="8"/>
      <c r="S248" s="8"/>
      <c r="T248" s="8"/>
      <c r="U248" s="8"/>
      <c r="V248" s="8"/>
      <c r="W248" s="8"/>
      <c r="X248" s="8"/>
      <c r="Y248" s="8"/>
      <c r="Z248" s="8"/>
    </row>
    <row r="249">
      <c r="A249" s="3" t="str">
        <f t="array" ref="A249">INDEX('final-RA-to-framework-summary'!$C$1:$T$1, 1, INT((ROW(A248)-1)/23)+1)</f>
        <v>F11</v>
      </c>
      <c r="B249" s="3" t="str">
        <f t="array" ref="B249">INDEX('final-RA-to-framework-summary'!$C$2:$T$2, 1, INT((ROW(B248)-1)/23)+1)</f>
        <v>RL Baselines3 Zoo</v>
      </c>
      <c r="C249" s="3" t="str">
        <f t="array" ref="C249">INDEX('final-RA-to-framework-summary'!$B$4:$B$26, MOD(ROW(A248)-1, 23)+1)</f>
        <v>Checkpoint Manager</v>
      </c>
      <c r="D249" s="3" t="str">
        <f t="array" ref="D249">INDEX('final-RA-to-framework-summary'!$C$4:$Z$26, MOD(ROW(A248)-1, 23)+1, INT((ROW(A248)-1)/23)+1)</f>
        <v>explicit</v>
      </c>
      <c r="E249" s="9" t="s">
        <v>334</v>
      </c>
      <c r="F249" s="10" t="s">
        <v>335</v>
      </c>
      <c r="G249" s="8"/>
      <c r="H249" s="8"/>
      <c r="I249" s="8"/>
      <c r="J249" s="8"/>
      <c r="K249" s="8"/>
      <c r="L249" s="8"/>
      <c r="M249" s="8"/>
      <c r="N249" s="8"/>
      <c r="O249" s="8"/>
      <c r="P249" s="8"/>
      <c r="Q249" s="8"/>
      <c r="R249" s="8"/>
      <c r="S249" s="8"/>
      <c r="T249" s="8"/>
      <c r="U249" s="8"/>
      <c r="V249" s="8"/>
      <c r="W249" s="8"/>
      <c r="X249" s="8"/>
      <c r="Y249" s="8"/>
      <c r="Z249" s="8"/>
    </row>
    <row r="250">
      <c r="A250" s="3" t="str">
        <f t="array" ref="A250">INDEX('final-RA-to-framework-summary'!$C$1:$T$1, 1, INT((ROW(A249)-1)/23)+1)</f>
        <v>F11</v>
      </c>
      <c r="B250" s="3" t="str">
        <f t="array" ref="B250">INDEX('final-RA-to-framework-summary'!$C$2:$T$2, 1, INT((ROW(B249)-1)/23)+1)</f>
        <v>RL Baselines3 Zoo</v>
      </c>
      <c r="C250" s="3" t="str">
        <f t="array" ref="C250">INDEX('final-RA-to-framework-summary'!$B$4:$B$26, MOD(ROW(A249)-1, 23)+1)</f>
        <v>Environment Parameter 
Manager</v>
      </c>
      <c r="D250" s="3" t="str">
        <f t="array" ref="D250">INDEX('final-RA-to-framework-summary'!$C$4:$Z$26, MOD(ROW(A249)-1, 23)+1, INT((ROW(A249)-1)/23)+1)</f>
        <v>not implemented</v>
      </c>
      <c r="E250" s="8"/>
      <c r="F250" s="8"/>
      <c r="G250" s="8"/>
      <c r="H250" s="8"/>
      <c r="I250" s="8"/>
      <c r="J250" s="8"/>
      <c r="K250" s="8"/>
      <c r="L250" s="8"/>
      <c r="M250" s="8"/>
      <c r="N250" s="8"/>
      <c r="O250" s="8"/>
      <c r="P250" s="8"/>
      <c r="Q250" s="8"/>
      <c r="R250" s="8"/>
      <c r="S250" s="8"/>
      <c r="T250" s="8"/>
      <c r="U250" s="8"/>
      <c r="V250" s="8"/>
      <c r="W250" s="8"/>
      <c r="X250" s="8"/>
      <c r="Y250" s="8"/>
      <c r="Z250" s="8"/>
    </row>
    <row r="251">
      <c r="A251" s="3" t="str">
        <f t="array" ref="A251">INDEX('final-RA-to-framework-summary'!$C$1:$T$1, 1, INT((ROW(A250)-1)/23)+1)</f>
        <v>F11</v>
      </c>
      <c r="B251" s="3" t="str">
        <f t="array" ref="B251">INDEX('final-RA-to-framework-summary'!$C$2:$T$2, 1, INT((ROW(B250)-1)/23)+1)</f>
        <v>RL Baselines3 Zoo</v>
      </c>
      <c r="C251" s="3" t="str">
        <f t="array" ref="C251">INDEX('final-RA-to-framework-summary'!$B$4:$B$26, MOD(ROW(A250)-1, 23)+1)</f>
        <v>Renderer</v>
      </c>
      <c r="D251" s="3" t="str">
        <f t="array" ref="D251">INDEX('final-RA-to-framework-summary'!$C$4:$Z$26, MOD(ROW(A250)-1, 23)+1, INT((ROW(A250)-1)/23)+1)</f>
        <v>not implemented</v>
      </c>
      <c r="E251" s="8"/>
      <c r="F251" s="8"/>
      <c r="G251" s="8"/>
      <c r="H251" s="8"/>
      <c r="I251" s="8"/>
      <c r="J251" s="8"/>
      <c r="K251" s="8"/>
      <c r="L251" s="8"/>
      <c r="M251" s="8"/>
      <c r="N251" s="8"/>
      <c r="O251" s="8"/>
      <c r="P251" s="8"/>
      <c r="Q251" s="8"/>
      <c r="R251" s="8"/>
      <c r="S251" s="8"/>
      <c r="T251" s="8"/>
      <c r="U251" s="8"/>
      <c r="V251" s="8"/>
      <c r="W251" s="8"/>
      <c r="X251" s="8"/>
      <c r="Y251" s="8"/>
      <c r="Z251" s="8"/>
    </row>
    <row r="252">
      <c r="A252" s="3" t="str">
        <f t="array" ref="A252">INDEX('final-RA-to-framework-summary'!$C$1:$T$1, 1, INT((ROW(A251)-1)/23)+1)</f>
        <v>F11</v>
      </c>
      <c r="B252" s="3" t="str">
        <f t="array" ref="B252">INDEX('final-RA-to-framework-summary'!$C$2:$T$2, 1, INT((ROW(B251)-1)/23)+1)</f>
        <v>RL Baselines3 Zoo</v>
      </c>
      <c r="C252" s="3" t="str">
        <f t="array" ref="C252">INDEX('final-RA-to-framework-summary'!$B$4:$B$26, MOD(ROW(A251)-1, 23)+1)</f>
        <v>Recorder</v>
      </c>
      <c r="D252" s="3" t="str">
        <f t="array" ref="D252">INDEX('final-RA-to-framework-summary'!$C$4:$Z$26, MOD(ROW(A251)-1, 23)+1, INT((ROW(A251)-1)/23)+1)</f>
        <v>explicit</v>
      </c>
      <c r="E252" s="9" t="s">
        <v>336</v>
      </c>
      <c r="F252" s="10" t="s">
        <v>337</v>
      </c>
      <c r="G252" s="8"/>
      <c r="H252" s="8"/>
      <c r="I252" s="8"/>
      <c r="J252" s="8"/>
      <c r="K252" s="8"/>
      <c r="L252" s="8"/>
      <c r="M252" s="8"/>
      <c r="N252" s="8"/>
      <c r="O252" s="8"/>
      <c r="P252" s="8"/>
      <c r="Q252" s="8"/>
      <c r="R252" s="8"/>
      <c r="S252" s="8"/>
      <c r="T252" s="8"/>
      <c r="U252" s="8"/>
      <c r="V252" s="8"/>
      <c r="W252" s="8"/>
      <c r="X252" s="8"/>
      <c r="Y252" s="8"/>
      <c r="Z252" s="8"/>
    </row>
    <row r="253">
      <c r="A253" s="3" t="str">
        <f t="array" ref="A253">INDEX('final-RA-to-framework-summary'!$C$1:$T$1, 1, INT((ROW(A252)-1)/23)+1)</f>
        <v>F11</v>
      </c>
      <c r="B253" s="3" t="str">
        <f t="array" ref="B253">INDEX('final-RA-to-framework-summary'!$C$2:$T$2, 1, INT((ROW(B252)-1)/23)+1)</f>
        <v>RL Baselines3 Zoo</v>
      </c>
      <c r="C253" s="3" t="str">
        <f t="array" ref="C253">INDEX('final-RA-to-framework-summary'!$B$4:$B$26, MOD(ROW(A252)-1, 23)+1)</f>
        <v>Logger</v>
      </c>
      <c r="D253" s="3" t="str">
        <f t="array" ref="D253">INDEX('final-RA-to-framework-summary'!$C$4:$Z$26, MOD(ROW(A252)-1, 23)+1, INT((ROW(A252)-1)/23)+1)</f>
        <v>explicit</v>
      </c>
      <c r="E253" s="9" t="s">
        <v>338</v>
      </c>
      <c r="F253" s="10" t="s">
        <v>339</v>
      </c>
      <c r="G253" s="8"/>
      <c r="H253" s="8"/>
      <c r="I253" s="8"/>
      <c r="J253" s="8"/>
      <c r="K253" s="8"/>
      <c r="L253" s="8"/>
      <c r="M253" s="8"/>
      <c r="N253" s="8"/>
      <c r="O253" s="8"/>
      <c r="P253" s="8"/>
      <c r="Q253" s="8"/>
      <c r="R253" s="8"/>
      <c r="S253" s="8"/>
      <c r="T253" s="8"/>
      <c r="U253" s="8"/>
      <c r="V253" s="8"/>
      <c r="W253" s="8"/>
      <c r="X253" s="8"/>
      <c r="Y253" s="8"/>
      <c r="Z253" s="8"/>
    </row>
    <row r="254">
      <c r="A254" s="3" t="str">
        <f t="array" ref="A254">INDEX('final-RA-to-framework-summary'!$C$1:$T$1, 1, INT((ROW(A253)-1)/23)+1)</f>
        <v>F11</v>
      </c>
      <c r="B254" s="3" t="str">
        <f t="array" ref="B254">INDEX('final-RA-to-framework-summary'!$C$2:$T$2, 1, INT((ROW(B253)-1)/23)+1)</f>
        <v>RL Baselines3 Zoo</v>
      </c>
      <c r="C254" s="3" t="str">
        <f t="array" ref="C254">INDEX('final-RA-to-framework-summary'!$B$4:$B$26, MOD(ROW(A253)-1, 23)+1)</f>
        <v>Reporter</v>
      </c>
      <c r="D254" s="3" t="str">
        <f t="array" ref="D254">INDEX('final-RA-to-framework-summary'!$C$4:$Z$26, MOD(ROW(A253)-1, 23)+1, INT((ROW(A253)-1)/23)+1)</f>
        <v>explicit</v>
      </c>
      <c r="E254" s="9" t="s">
        <v>340</v>
      </c>
      <c r="F254" s="10" t="s">
        <v>341</v>
      </c>
      <c r="G254" s="10" t="s">
        <v>342</v>
      </c>
      <c r="H254" s="8"/>
      <c r="I254" s="8"/>
      <c r="J254" s="8"/>
      <c r="K254" s="8"/>
      <c r="L254" s="8"/>
      <c r="M254" s="8"/>
      <c r="N254" s="8"/>
      <c r="O254" s="8"/>
      <c r="P254" s="8"/>
      <c r="Q254" s="8"/>
      <c r="R254" s="8"/>
      <c r="S254" s="8"/>
      <c r="T254" s="8"/>
      <c r="U254" s="8"/>
      <c r="V254" s="8"/>
      <c r="W254" s="8"/>
      <c r="X254" s="8"/>
      <c r="Y254" s="8"/>
      <c r="Z254" s="8"/>
    </row>
    <row r="255">
      <c r="A255" s="3" t="str">
        <f t="array" ref="A255">INDEX('final-RA-to-framework-summary'!$C$1:$T$1, 1, INT((ROW(A254)-1)/23)+1)</f>
        <v>F12</v>
      </c>
      <c r="B255" s="3" t="str">
        <f t="array" ref="B255">INDEX('final-RA-to-framework-summary'!$C$2:$T$2, 1, INT((ROW(B254)-1)/23)+1)</f>
        <v>RLlib</v>
      </c>
      <c r="C255" s="3" t="str">
        <f t="array" ref="C255">INDEX('final-RA-to-framework-summary'!$B$4:$B$26, MOD(ROW(A254)-1, 23)+1)</f>
        <v>Experiment Orchestrator</v>
      </c>
      <c r="D255" s="3" t="str">
        <f t="array" ref="D255">INDEX('final-RA-to-framework-summary'!$C$4:$Z$26, MOD(ROW(A254)-1, 23)+1, INT((ROW(A254)-1)/23)+1)</f>
        <v>not implemented</v>
      </c>
      <c r="E255" s="8"/>
      <c r="F255" s="8"/>
      <c r="G255" s="8"/>
      <c r="H255" s="8"/>
      <c r="I255" s="8"/>
      <c r="J255" s="8"/>
      <c r="K255" s="8"/>
      <c r="L255" s="8"/>
      <c r="M255" s="8"/>
      <c r="N255" s="8"/>
      <c r="O255" s="8"/>
      <c r="P255" s="8"/>
      <c r="Q255" s="8"/>
      <c r="R255" s="8"/>
      <c r="S255" s="8"/>
      <c r="T255" s="8"/>
      <c r="U255" s="8"/>
      <c r="V255" s="8"/>
      <c r="W255" s="8"/>
      <c r="X255" s="8"/>
      <c r="Y255" s="8"/>
      <c r="Z255" s="8"/>
    </row>
    <row r="256">
      <c r="A256" s="3" t="str">
        <f t="array" ref="A256">INDEX('final-RA-to-framework-summary'!$C$1:$T$1, 1, INT((ROW(A255)-1)/23)+1)</f>
        <v>F12</v>
      </c>
      <c r="B256" s="3" t="str">
        <f t="array" ref="B256">INDEX('final-RA-to-framework-summary'!$C$2:$T$2, 1, INT((ROW(B255)-1)/23)+1)</f>
        <v>RLlib</v>
      </c>
      <c r="C256" s="3" t="str">
        <f t="array" ref="C256">INDEX('final-RA-to-framework-summary'!$B$4:$B$26, MOD(ROW(A255)-1, 23)+1)</f>
        <v>Experiment Manager</v>
      </c>
      <c r="D256" s="3" t="str">
        <f t="array" ref="D256">INDEX('final-RA-to-framework-summary'!$C$4:$Z$26, MOD(ROW(A255)-1, 23)+1, INT((ROW(A255)-1)/23)+1)</f>
        <v>implicit</v>
      </c>
      <c r="E256" s="9" t="s">
        <v>343</v>
      </c>
      <c r="F256" s="10" t="s">
        <v>344</v>
      </c>
      <c r="G256" s="10" t="s">
        <v>345</v>
      </c>
      <c r="H256" s="8"/>
      <c r="I256" s="8"/>
      <c r="J256" s="8"/>
      <c r="K256" s="8"/>
      <c r="L256" s="8"/>
      <c r="M256" s="8"/>
      <c r="N256" s="8"/>
      <c r="O256" s="8"/>
      <c r="P256" s="8"/>
      <c r="Q256" s="8"/>
      <c r="R256" s="8"/>
      <c r="S256" s="8"/>
      <c r="T256" s="8"/>
      <c r="U256" s="8"/>
      <c r="V256" s="8"/>
      <c r="W256" s="8"/>
      <c r="X256" s="8"/>
      <c r="Y256" s="8"/>
      <c r="Z256" s="8"/>
    </row>
    <row r="257">
      <c r="A257" s="3" t="str">
        <f t="array" ref="A257">INDEX('final-RA-to-framework-summary'!$C$1:$T$1, 1, INT((ROW(A256)-1)/23)+1)</f>
        <v>F12</v>
      </c>
      <c r="B257" s="3" t="str">
        <f t="array" ref="B257">INDEX('final-RA-to-framework-summary'!$C$2:$T$2, 1, INT((ROW(B256)-1)/23)+1)</f>
        <v>RLlib</v>
      </c>
      <c r="C257" s="3" t="str">
        <f t="array" ref="C257">INDEX('final-RA-to-framework-summary'!$B$4:$B$26, MOD(ROW(A256)-1, 23)+1)</f>
        <v>Hyperparameter Tuner</v>
      </c>
      <c r="D257" s="3" t="str">
        <f t="array" ref="D257">INDEX('final-RA-to-framework-summary'!$C$4:$Z$26, MOD(ROW(A256)-1, 23)+1, INT((ROW(A256)-1)/23)+1)</f>
        <v>external</v>
      </c>
      <c r="E257" s="9" t="s">
        <v>346</v>
      </c>
      <c r="F257" s="10" t="s">
        <v>347</v>
      </c>
      <c r="G257" s="8"/>
      <c r="H257" s="10" t="s">
        <v>348</v>
      </c>
      <c r="I257" s="8"/>
      <c r="J257" s="8"/>
      <c r="K257" s="8"/>
      <c r="L257" s="8"/>
      <c r="M257" s="8"/>
      <c r="N257" s="8"/>
      <c r="O257" s="8"/>
      <c r="P257" s="8"/>
      <c r="Q257" s="8"/>
      <c r="R257" s="8"/>
      <c r="S257" s="8"/>
      <c r="T257" s="8"/>
      <c r="U257" s="8"/>
      <c r="V257" s="8"/>
      <c r="W257" s="8"/>
      <c r="X257" s="8"/>
      <c r="Y257" s="8"/>
      <c r="Z257" s="8"/>
    </row>
    <row r="258">
      <c r="A258" s="3" t="str">
        <f t="array" ref="A258">INDEX('final-RA-to-framework-summary'!$C$1:$T$1, 1, INT((ROW(A257)-1)/23)+1)</f>
        <v>F12</v>
      </c>
      <c r="B258" s="3" t="str">
        <f t="array" ref="B258">INDEX('final-RA-to-framework-summary'!$C$2:$T$2, 1, INT((ROW(B257)-1)/23)+1)</f>
        <v>RLlib</v>
      </c>
      <c r="C258" s="3" t="str">
        <f t="array" ref="C258">INDEX('final-RA-to-framework-summary'!$B$4:$B$26, MOD(ROW(A257)-1, 23)+1)</f>
        <v>Benchmark Manager</v>
      </c>
      <c r="D258" s="3" t="str">
        <f t="array" ref="D258">INDEX('final-RA-to-framework-summary'!$C$4:$Z$26, MOD(ROW(A257)-1, 23)+1, INT((ROW(A257)-1)/23)+1)</f>
        <v>not implemented</v>
      </c>
      <c r="E258" s="8"/>
      <c r="F258" s="8"/>
      <c r="G258" s="8"/>
      <c r="H258" s="8"/>
      <c r="I258" s="8"/>
      <c r="J258" s="8"/>
      <c r="K258" s="8"/>
      <c r="L258" s="8"/>
      <c r="M258" s="8"/>
      <c r="N258" s="8"/>
      <c r="O258" s="8"/>
      <c r="P258" s="8"/>
      <c r="Q258" s="8"/>
      <c r="R258" s="8"/>
      <c r="S258" s="8"/>
      <c r="T258" s="8"/>
      <c r="U258" s="8"/>
      <c r="V258" s="8"/>
      <c r="W258" s="8"/>
      <c r="X258" s="8"/>
      <c r="Y258" s="8"/>
      <c r="Z258" s="8"/>
    </row>
    <row r="259">
      <c r="A259" s="3" t="str">
        <f t="array" ref="A259">INDEX('final-RA-to-framework-summary'!$C$1:$T$1, 1, INT((ROW(A258)-1)/23)+1)</f>
        <v>F12</v>
      </c>
      <c r="B259" s="3" t="str">
        <f t="array" ref="B259">INDEX('final-RA-to-framework-summary'!$C$2:$T$2, 1, INT((ROW(B258)-1)/23)+1)</f>
        <v>RLlib</v>
      </c>
      <c r="C259" s="3" t="str">
        <f t="array" ref="C259">INDEX('final-RA-to-framework-summary'!$B$4:$B$26, MOD(ROW(A258)-1, 23)+1)</f>
        <v>Framework Orchestrator</v>
      </c>
      <c r="D259" s="3" t="str">
        <f t="array" ref="D259">INDEX('final-RA-to-framework-summary'!$C$4:$Z$26, MOD(ROW(A258)-1, 23)+1, INT((ROW(A258)-1)/23)+1)</f>
        <v>implicit</v>
      </c>
      <c r="E259" s="9" t="s">
        <v>349</v>
      </c>
      <c r="F259" s="10" t="s">
        <v>344</v>
      </c>
      <c r="G259" s="10" t="s">
        <v>350</v>
      </c>
      <c r="H259" s="8"/>
      <c r="I259" s="8"/>
      <c r="J259" s="8"/>
      <c r="K259" s="8"/>
      <c r="L259" s="8"/>
      <c r="M259" s="8"/>
      <c r="N259" s="8"/>
      <c r="O259" s="8"/>
      <c r="P259" s="8"/>
      <c r="Q259" s="8"/>
      <c r="R259" s="8"/>
      <c r="S259" s="8"/>
      <c r="T259" s="8"/>
      <c r="U259" s="8"/>
      <c r="V259" s="8"/>
      <c r="W259" s="8"/>
      <c r="X259" s="8"/>
      <c r="Y259" s="8"/>
      <c r="Z259" s="8"/>
    </row>
    <row r="260">
      <c r="A260" s="3" t="str">
        <f t="array" ref="A260">INDEX('final-RA-to-framework-summary'!$C$1:$T$1, 1, INT((ROW(A259)-1)/23)+1)</f>
        <v>F12</v>
      </c>
      <c r="B260" s="3" t="str">
        <f t="array" ref="B260">INDEX('final-RA-to-framework-summary'!$C$2:$T$2, 1, INT((ROW(B259)-1)/23)+1)</f>
        <v>RLlib</v>
      </c>
      <c r="C260" s="3" t="str">
        <f t="array" ref="C260">INDEX('final-RA-to-framework-summary'!$B$4:$B$26, MOD(ROW(A259)-1, 23)+1)</f>
        <v>Lifecycle Manager</v>
      </c>
      <c r="D260" s="3" t="str">
        <f t="array" ref="D260">INDEX('final-RA-to-framework-summary'!$C$4:$Z$26, MOD(ROW(A259)-1, 23)+1, INT((ROW(A259)-1)/23)+1)</f>
        <v>explicit</v>
      </c>
      <c r="E260" s="9" t="s">
        <v>351</v>
      </c>
      <c r="F260" s="10" t="s">
        <v>352</v>
      </c>
      <c r="G260" s="10" t="s">
        <v>353</v>
      </c>
      <c r="H260" s="8"/>
      <c r="I260" s="8"/>
      <c r="J260" s="8"/>
      <c r="K260" s="8"/>
      <c r="L260" s="8"/>
      <c r="M260" s="8"/>
      <c r="N260" s="8"/>
      <c r="O260" s="8"/>
      <c r="P260" s="8"/>
      <c r="Q260" s="8"/>
      <c r="R260" s="8"/>
      <c r="S260" s="8"/>
      <c r="T260" s="8"/>
      <c r="U260" s="8"/>
      <c r="V260" s="8"/>
      <c r="W260" s="8"/>
      <c r="X260" s="8"/>
      <c r="Y260" s="8"/>
      <c r="Z260" s="8"/>
    </row>
    <row r="261">
      <c r="A261" s="3" t="str">
        <f t="array" ref="A261">INDEX('final-RA-to-framework-summary'!$C$1:$T$1, 1, INT((ROW(A260)-1)/23)+1)</f>
        <v>F12</v>
      </c>
      <c r="B261" s="3" t="str">
        <f t="array" ref="B261">INDEX('final-RA-to-framework-summary'!$C$2:$T$2, 1, INT((ROW(B260)-1)/23)+1)</f>
        <v>RLlib</v>
      </c>
      <c r="C261" s="3" t="str">
        <f t="array" ref="C261">INDEX('final-RA-to-framework-summary'!$B$4:$B$26, MOD(ROW(A260)-1, 23)+1)</f>
        <v>Configuration Manager</v>
      </c>
      <c r="D261" s="3" t="str">
        <f t="array" ref="D261">INDEX('final-RA-to-framework-summary'!$C$4:$Z$26, MOD(ROW(A260)-1, 23)+1, INT((ROW(A260)-1)/23)+1)</f>
        <v>explicit</v>
      </c>
      <c r="E261" s="9" t="s">
        <v>354</v>
      </c>
      <c r="F261" s="10" t="s">
        <v>355</v>
      </c>
      <c r="G261" s="8"/>
      <c r="H261" s="8"/>
      <c r="I261" s="8"/>
      <c r="J261" s="8"/>
      <c r="K261" s="8"/>
      <c r="L261" s="8"/>
      <c r="M261" s="8"/>
      <c r="N261" s="8"/>
      <c r="O261" s="8"/>
      <c r="P261" s="8"/>
      <c r="Q261" s="8"/>
      <c r="R261" s="8"/>
      <c r="S261" s="8"/>
      <c r="T261" s="8"/>
      <c r="U261" s="8"/>
      <c r="V261" s="8"/>
      <c r="W261" s="8"/>
      <c r="X261" s="8"/>
      <c r="Y261" s="8"/>
      <c r="Z261" s="8"/>
    </row>
    <row r="262">
      <c r="A262" s="3" t="str">
        <f t="array" ref="A262">INDEX('final-RA-to-framework-summary'!$C$1:$T$1, 1, INT((ROW(A261)-1)/23)+1)</f>
        <v>F12</v>
      </c>
      <c r="B262" s="3" t="str">
        <f t="array" ref="B262">INDEX('final-RA-to-framework-summary'!$C$2:$T$2, 1, INT((ROW(B261)-1)/23)+1)</f>
        <v>RLlib</v>
      </c>
      <c r="C262" s="3" t="str">
        <f t="array" ref="C262">INDEX('final-RA-to-framework-summary'!$B$4:$B$26, MOD(ROW(A261)-1, 23)+1)</f>
        <v>Multi-Agent Coordinator</v>
      </c>
      <c r="D262" s="3" t="str">
        <f t="array" ref="D262">INDEX('final-RA-to-framework-summary'!$C$4:$Z$26, MOD(ROW(A261)-1, 23)+1, INT((ROW(A261)-1)/23)+1)</f>
        <v>implicit</v>
      </c>
      <c r="E262" s="9" t="s">
        <v>356</v>
      </c>
      <c r="F262" s="10" t="s">
        <v>357</v>
      </c>
      <c r="G262" s="10" t="s">
        <v>358</v>
      </c>
      <c r="H262" s="8"/>
      <c r="I262" s="8"/>
      <c r="J262" s="8"/>
      <c r="K262" s="8"/>
      <c r="L262" s="8"/>
      <c r="M262" s="8"/>
      <c r="N262" s="8"/>
      <c r="O262" s="8"/>
      <c r="P262" s="8"/>
      <c r="Q262" s="8"/>
      <c r="R262" s="8"/>
      <c r="S262" s="8"/>
      <c r="T262" s="8"/>
      <c r="U262" s="8"/>
      <c r="V262" s="8"/>
      <c r="W262" s="8"/>
      <c r="X262" s="8"/>
      <c r="Y262" s="8"/>
      <c r="Z262" s="8"/>
    </row>
    <row r="263">
      <c r="A263" s="3" t="str">
        <f t="array" ref="A263">INDEX('final-RA-to-framework-summary'!$C$1:$T$1, 1, INT((ROW(A262)-1)/23)+1)</f>
        <v>F12</v>
      </c>
      <c r="B263" s="3" t="str">
        <f t="array" ref="B263">INDEX('final-RA-to-framework-summary'!$C$2:$T$2, 1, INT((ROW(B262)-1)/23)+1)</f>
        <v>RLlib</v>
      </c>
      <c r="C263" s="3" t="str">
        <f t="array" ref="C263">INDEX('final-RA-to-framework-summary'!$B$4:$B$26, MOD(ROW(A262)-1, 23)+1)</f>
        <v>Distributed Execution 
Coordinator</v>
      </c>
      <c r="D263" s="3" t="str">
        <f t="array" ref="D263">INDEX('final-RA-to-framework-summary'!$C$4:$Z$26, MOD(ROW(A262)-1, 23)+1, INT((ROW(A262)-1)/23)+1)</f>
        <v>external</v>
      </c>
      <c r="E263" s="9" t="s">
        <v>359</v>
      </c>
      <c r="F263" s="10" t="s">
        <v>360</v>
      </c>
      <c r="G263" s="8"/>
      <c r="H263" s="10" t="s">
        <v>361</v>
      </c>
      <c r="I263" s="8"/>
      <c r="J263" s="8"/>
      <c r="K263" s="8"/>
      <c r="L263" s="8"/>
      <c r="M263" s="8"/>
      <c r="N263" s="8"/>
      <c r="O263" s="8"/>
      <c r="P263" s="8"/>
      <c r="Q263" s="8"/>
      <c r="R263" s="8"/>
      <c r="S263" s="8"/>
      <c r="T263" s="8"/>
      <c r="U263" s="8"/>
      <c r="V263" s="8"/>
      <c r="W263" s="8"/>
      <c r="X263" s="8"/>
      <c r="Y263" s="8"/>
      <c r="Z263" s="8"/>
    </row>
    <row r="264">
      <c r="A264" s="3" t="str">
        <f t="array" ref="A264">INDEX('final-RA-to-framework-summary'!$C$1:$T$1, 1, INT((ROW(A263)-1)/23)+1)</f>
        <v>F12</v>
      </c>
      <c r="B264" s="3" t="str">
        <f t="array" ref="B264">INDEX('final-RA-to-framework-summary'!$C$2:$T$2, 1, INT((ROW(B263)-1)/23)+1)</f>
        <v>RLlib</v>
      </c>
      <c r="C264" s="3" t="str">
        <f t="array" ref="C264">INDEX('final-RA-to-framework-summary'!$B$4:$B$26, MOD(ROW(A263)-1, 23)+1)</f>
        <v>Agent</v>
      </c>
      <c r="D264" s="3" t="str">
        <f t="array" ref="D264">INDEX('final-RA-to-framework-summary'!$C$4:$Z$26, MOD(ROW(A263)-1, 23)+1, INT((ROW(A263)-1)/23)+1)</f>
        <v>explicit</v>
      </c>
      <c r="E264" s="9" t="s">
        <v>362</v>
      </c>
      <c r="F264" s="10" t="s">
        <v>363</v>
      </c>
      <c r="G264" s="8"/>
      <c r="H264" s="8"/>
      <c r="I264" s="8"/>
      <c r="J264" s="8"/>
      <c r="K264" s="8"/>
      <c r="L264" s="8"/>
      <c r="M264" s="8"/>
      <c r="N264" s="8"/>
      <c r="O264" s="8"/>
      <c r="P264" s="8"/>
      <c r="Q264" s="8"/>
      <c r="R264" s="8"/>
      <c r="S264" s="8"/>
      <c r="T264" s="8"/>
      <c r="U264" s="8"/>
      <c r="V264" s="8"/>
      <c r="W264" s="8"/>
      <c r="X264" s="8"/>
      <c r="Y264" s="8"/>
      <c r="Z264" s="8"/>
    </row>
    <row r="265">
      <c r="A265" s="3" t="str">
        <f t="array" ref="A265">INDEX('final-RA-to-framework-summary'!$C$1:$T$1, 1, INT((ROW(A264)-1)/23)+1)</f>
        <v>F12</v>
      </c>
      <c r="B265" s="3" t="str">
        <f t="array" ref="B265">INDEX('final-RA-to-framework-summary'!$C$2:$T$2, 1, INT((ROW(B264)-1)/23)+1)</f>
        <v>RLlib</v>
      </c>
      <c r="C265" s="3" t="str">
        <f t="array" ref="C265">INDEX('final-RA-to-framework-summary'!$B$4:$B$26, MOD(ROW(A264)-1, 23)+1)</f>
        <v>Function Approximator</v>
      </c>
      <c r="D265" s="3" t="str">
        <f t="array" ref="D265">INDEX('final-RA-to-framework-summary'!$C$4:$Z$26, MOD(ROW(A264)-1, 23)+1, INT((ROW(A264)-1)/23)+1)</f>
        <v>explicit</v>
      </c>
      <c r="E265" s="9" t="s">
        <v>364</v>
      </c>
      <c r="F265" s="10" t="s">
        <v>365</v>
      </c>
      <c r="G265" s="10" t="s">
        <v>366</v>
      </c>
      <c r="H265" s="8"/>
      <c r="I265" s="8"/>
      <c r="J265" s="8"/>
      <c r="K265" s="8"/>
      <c r="L265" s="8"/>
      <c r="M265" s="8"/>
      <c r="N265" s="8"/>
      <c r="O265" s="8"/>
      <c r="P265" s="8"/>
      <c r="Q265" s="8"/>
      <c r="R265" s="8"/>
      <c r="S265" s="8"/>
      <c r="T265" s="8"/>
      <c r="U265" s="8"/>
      <c r="V265" s="8"/>
      <c r="W265" s="8"/>
      <c r="X265" s="8"/>
      <c r="Y265" s="8"/>
      <c r="Z265" s="8"/>
    </row>
    <row r="266">
      <c r="A266" s="3" t="str">
        <f t="array" ref="A266">INDEX('final-RA-to-framework-summary'!$C$1:$T$1, 1, INT((ROW(A265)-1)/23)+1)</f>
        <v>F12</v>
      </c>
      <c r="B266" s="3" t="str">
        <f t="array" ref="B266">INDEX('final-RA-to-framework-summary'!$C$2:$T$2, 1, INT((ROW(B265)-1)/23)+1)</f>
        <v>RLlib</v>
      </c>
      <c r="C266" s="3" t="str">
        <f t="array" ref="C266">INDEX('final-RA-to-framework-summary'!$B$4:$B$26, MOD(ROW(A265)-1, 23)+1)</f>
        <v>Buffer</v>
      </c>
      <c r="D266" s="3" t="str">
        <f t="array" ref="D266">INDEX('final-RA-to-framework-summary'!$C$4:$Z$26, MOD(ROW(A265)-1, 23)+1, INT((ROW(A265)-1)/23)+1)</f>
        <v>explicit</v>
      </c>
      <c r="E266" s="14" t="s">
        <v>367</v>
      </c>
      <c r="F266" s="10" t="s">
        <v>368</v>
      </c>
      <c r="G266" s="8"/>
      <c r="H266" s="8"/>
      <c r="I266" s="8"/>
      <c r="J266" s="8"/>
      <c r="K266" s="8"/>
      <c r="L266" s="8"/>
      <c r="M266" s="8"/>
      <c r="N266" s="8"/>
      <c r="O266" s="8"/>
      <c r="P266" s="8"/>
      <c r="Q266" s="8"/>
      <c r="R266" s="8"/>
      <c r="S266" s="8"/>
      <c r="T266" s="8"/>
      <c r="U266" s="8"/>
      <c r="V266" s="8"/>
      <c r="W266" s="8"/>
      <c r="X266" s="8"/>
      <c r="Y266" s="8"/>
      <c r="Z266" s="8"/>
    </row>
    <row r="267">
      <c r="A267" s="3" t="str">
        <f t="array" ref="A267">INDEX('final-RA-to-framework-summary'!$C$1:$T$1, 1, INT((ROW(A266)-1)/23)+1)</f>
        <v>F12</v>
      </c>
      <c r="B267" s="3" t="str">
        <f t="array" ref="B267">INDEX('final-RA-to-framework-summary'!$C$2:$T$2, 1, INT((ROW(B266)-1)/23)+1)</f>
        <v>RLlib</v>
      </c>
      <c r="C267" s="3" t="str">
        <f t="array" ref="C267">INDEX('final-RA-to-framework-summary'!$B$4:$B$26, MOD(ROW(A266)-1, 23)+1)</f>
        <v>Learner</v>
      </c>
      <c r="D267" s="3" t="str">
        <f t="array" ref="D267">INDEX('final-RA-to-framework-summary'!$C$4:$Z$26, MOD(ROW(A266)-1, 23)+1, INT((ROW(A266)-1)/23)+1)</f>
        <v>explicit</v>
      </c>
      <c r="E267" s="9" t="s">
        <v>369</v>
      </c>
      <c r="F267" s="10" t="s">
        <v>370</v>
      </c>
      <c r="G267" s="10" t="s">
        <v>371</v>
      </c>
      <c r="H267" s="8"/>
      <c r="I267" s="8"/>
      <c r="J267" s="8"/>
      <c r="K267" s="8"/>
      <c r="L267" s="8"/>
      <c r="M267" s="8"/>
      <c r="N267" s="8"/>
      <c r="O267" s="8"/>
      <c r="P267" s="8"/>
      <c r="Q267" s="8"/>
      <c r="R267" s="8"/>
      <c r="S267" s="8"/>
      <c r="T267" s="8"/>
      <c r="U267" s="8"/>
      <c r="V267" s="8"/>
      <c r="W267" s="8"/>
      <c r="X267" s="8"/>
      <c r="Y267" s="8"/>
      <c r="Z267" s="8"/>
    </row>
    <row r="268">
      <c r="A268" s="3" t="str">
        <f t="array" ref="A268">INDEX('final-RA-to-framework-summary'!$C$1:$T$1, 1, INT((ROW(A267)-1)/23)+1)</f>
        <v>F12</v>
      </c>
      <c r="B268" s="3" t="str">
        <f t="array" ref="B268">INDEX('final-RA-to-framework-summary'!$C$2:$T$2, 1, INT((ROW(B267)-1)/23)+1)</f>
        <v>RLlib</v>
      </c>
      <c r="C268" s="3" t="str">
        <f t="array" ref="C268">INDEX('final-RA-to-framework-summary'!$B$4:$B$26, MOD(ROW(A267)-1, 23)+1)</f>
        <v>Environment</v>
      </c>
      <c r="D268" s="3" t="str">
        <f t="array" ref="D268">INDEX('final-RA-to-framework-summary'!$C$4:$Z$26, MOD(ROW(A267)-1, 23)+1, INT((ROW(A267)-1)/23)+1)</f>
        <v>not implemented</v>
      </c>
      <c r="E268" s="8"/>
      <c r="F268" s="8"/>
      <c r="G268" s="8"/>
      <c r="H268" s="8"/>
      <c r="I268" s="8"/>
      <c r="J268" s="8"/>
      <c r="K268" s="8"/>
      <c r="L268" s="8"/>
      <c r="M268" s="8"/>
      <c r="N268" s="8"/>
      <c r="O268" s="8"/>
      <c r="P268" s="8"/>
      <c r="Q268" s="8"/>
      <c r="R268" s="8"/>
      <c r="S268" s="8"/>
      <c r="T268" s="8"/>
      <c r="U268" s="8"/>
      <c r="V268" s="8"/>
      <c r="W268" s="8"/>
      <c r="X268" s="8"/>
      <c r="Y268" s="8"/>
      <c r="Z268" s="8"/>
    </row>
    <row r="269">
      <c r="A269" s="3" t="str">
        <f t="array" ref="A269">INDEX('final-RA-to-framework-summary'!$C$1:$T$1, 1, INT((ROW(A268)-1)/23)+1)</f>
        <v>F12</v>
      </c>
      <c r="B269" s="3" t="str">
        <f t="array" ref="B269">INDEX('final-RA-to-framework-summary'!$C$2:$T$2, 1, INT((ROW(B268)-1)/23)+1)</f>
        <v>RLlib</v>
      </c>
      <c r="C269" s="3" t="str">
        <f t="array" ref="C269">INDEX('final-RA-to-framework-summary'!$B$4:$B$26, MOD(ROW(A268)-1, 23)+1)</f>
        <v>Environment Core</v>
      </c>
      <c r="D269" s="3" t="str">
        <f t="array" ref="D269">INDEX('final-RA-to-framework-summary'!$C$4:$Z$26, MOD(ROW(A268)-1, 23)+1, INT((ROW(A268)-1)/23)+1)</f>
        <v>not implemented</v>
      </c>
      <c r="E269" s="8"/>
      <c r="F269" s="8"/>
      <c r="G269" s="8"/>
      <c r="H269" s="8"/>
      <c r="I269" s="8"/>
      <c r="J269" s="8"/>
      <c r="K269" s="8"/>
      <c r="L269" s="8"/>
      <c r="M269" s="8"/>
      <c r="N269" s="8"/>
      <c r="O269" s="8"/>
      <c r="P269" s="8"/>
      <c r="Q269" s="8"/>
      <c r="R269" s="8"/>
      <c r="S269" s="8"/>
      <c r="T269" s="8"/>
      <c r="U269" s="8"/>
      <c r="V269" s="8"/>
      <c r="W269" s="8"/>
      <c r="X269" s="8"/>
      <c r="Y269" s="8"/>
      <c r="Z269" s="8"/>
    </row>
    <row r="270">
      <c r="A270" s="3" t="str">
        <f t="array" ref="A270">INDEX('final-RA-to-framework-summary'!$C$1:$T$1, 1, INT((ROW(A269)-1)/23)+1)</f>
        <v>F12</v>
      </c>
      <c r="B270" s="3" t="str">
        <f t="array" ref="B270">INDEX('final-RA-to-framework-summary'!$C$2:$T$2, 1, INT((ROW(B269)-1)/23)+1)</f>
        <v>RLlib</v>
      </c>
      <c r="C270" s="3" t="str">
        <f t="array" ref="C270">INDEX('final-RA-to-framework-summary'!$B$4:$B$26, MOD(ROW(A269)-1, 23)+1)</f>
        <v>Simulator</v>
      </c>
      <c r="D270" s="3" t="str">
        <f t="array" ref="D270">INDEX('final-RA-to-framework-summary'!$C$4:$Z$26, MOD(ROW(A269)-1, 23)+1, INT((ROW(A269)-1)/23)+1)</f>
        <v>not implemented</v>
      </c>
      <c r="E270" s="8"/>
      <c r="F270" s="8"/>
      <c r="G270" s="8"/>
      <c r="H270" s="8"/>
      <c r="I270" s="8"/>
      <c r="J270" s="8"/>
      <c r="K270" s="8"/>
      <c r="L270" s="8"/>
      <c r="M270" s="8"/>
      <c r="N270" s="8"/>
      <c r="O270" s="8"/>
      <c r="P270" s="8"/>
      <c r="Q270" s="8"/>
      <c r="R270" s="8"/>
      <c r="S270" s="8"/>
      <c r="T270" s="8"/>
      <c r="U270" s="8"/>
      <c r="V270" s="8"/>
      <c r="W270" s="8"/>
      <c r="X270" s="8"/>
      <c r="Y270" s="8"/>
      <c r="Z270" s="8"/>
    </row>
    <row r="271">
      <c r="A271" s="3" t="str">
        <f t="array" ref="A271">INDEX('final-RA-to-framework-summary'!$C$1:$T$1, 1, INT((ROW(A270)-1)/23)+1)</f>
        <v>F12</v>
      </c>
      <c r="B271" s="3" t="str">
        <f t="array" ref="B271">INDEX('final-RA-to-framework-summary'!$C$2:$T$2, 1, INT((ROW(B270)-1)/23)+1)</f>
        <v>RLlib</v>
      </c>
      <c r="C271" s="3" t="str">
        <f t="array" ref="C271">INDEX('final-RA-to-framework-summary'!$B$4:$B$26, MOD(ROW(A270)-1, 23)+1)</f>
        <v>Simulator Adapter</v>
      </c>
      <c r="D271" s="3" t="str">
        <f t="array" ref="D271">INDEX('final-RA-to-framework-summary'!$C$4:$Z$26, MOD(ROW(A270)-1, 23)+1, INT((ROW(A270)-1)/23)+1)</f>
        <v>not implemented</v>
      </c>
      <c r="E271" s="8"/>
      <c r="F271" s="8"/>
      <c r="G271" s="8"/>
      <c r="H271" s="8"/>
      <c r="I271" s="8"/>
      <c r="J271" s="8"/>
      <c r="K271" s="8"/>
      <c r="L271" s="8"/>
      <c r="M271" s="8"/>
      <c r="N271" s="8"/>
      <c r="O271" s="8"/>
      <c r="P271" s="8"/>
      <c r="Q271" s="8"/>
      <c r="R271" s="8"/>
      <c r="S271" s="8"/>
      <c r="T271" s="8"/>
      <c r="U271" s="8"/>
      <c r="V271" s="8"/>
      <c r="W271" s="8"/>
      <c r="X271" s="8"/>
      <c r="Y271" s="8"/>
      <c r="Z271" s="8"/>
    </row>
    <row r="272">
      <c r="A272" s="3" t="str">
        <f t="array" ref="A272">INDEX('final-RA-to-framework-summary'!$C$1:$T$1, 1, INT((ROW(A271)-1)/23)+1)</f>
        <v>F12</v>
      </c>
      <c r="B272" s="3" t="str">
        <f t="array" ref="B272">INDEX('final-RA-to-framework-summary'!$C$2:$T$2, 1, INT((ROW(B271)-1)/23)+1)</f>
        <v>RLlib</v>
      </c>
      <c r="C272" s="3" t="str">
        <f t="array" ref="C272">INDEX('final-RA-to-framework-summary'!$B$4:$B$26, MOD(ROW(A271)-1, 23)+1)</f>
        <v>Checkpoint Manager</v>
      </c>
      <c r="D272" s="3" t="str">
        <f t="array" ref="D272">INDEX('final-RA-to-framework-summary'!$C$4:$Z$26, MOD(ROW(A271)-1, 23)+1, INT((ROW(A271)-1)/23)+1)</f>
        <v>explicit</v>
      </c>
      <c r="E272" s="9" t="s">
        <v>372</v>
      </c>
      <c r="F272" s="10" t="s">
        <v>373</v>
      </c>
      <c r="G272" s="8"/>
      <c r="H272" s="8"/>
      <c r="I272" s="8"/>
      <c r="J272" s="8"/>
      <c r="K272" s="8"/>
      <c r="L272" s="8"/>
      <c r="M272" s="8"/>
      <c r="N272" s="8"/>
      <c r="O272" s="8"/>
      <c r="P272" s="8"/>
      <c r="Q272" s="8"/>
      <c r="R272" s="8"/>
      <c r="S272" s="8"/>
      <c r="T272" s="8"/>
      <c r="U272" s="8"/>
      <c r="V272" s="8"/>
      <c r="W272" s="8"/>
      <c r="X272" s="8"/>
      <c r="Y272" s="8"/>
      <c r="Z272" s="8"/>
    </row>
    <row r="273">
      <c r="A273" s="3" t="str">
        <f t="array" ref="A273">INDEX('final-RA-to-framework-summary'!$C$1:$T$1, 1, INT((ROW(A272)-1)/23)+1)</f>
        <v>F12</v>
      </c>
      <c r="B273" s="3" t="str">
        <f t="array" ref="B273">INDEX('final-RA-to-framework-summary'!$C$2:$T$2, 1, INT((ROW(B272)-1)/23)+1)</f>
        <v>RLlib</v>
      </c>
      <c r="C273" s="3" t="str">
        <f t="array" ref="C273">INDEX('final-RA-to-framework-summary'!$B$4:$B$26, MOD(ROW(A272)-1, 23)+1)</f>
        <v>Environment Parameter 
Manager</v>
      </c>
      <c r="D273" s="3" t="str">
        <f t="array" ref="D273">INDEX('final-RA-to-framework-summary'!$C$4:$Z$26, MOD(ROW(A272)-1, 23)+1, INT((ROW(A272)-1)/23)+1)</f>
        <v>not implemented</v>
      </c>
      <c r="E273" s="9" t="s">
        <v>374</v>
      </c>
      <c r="F273" s="10" t="s">
        <v>375</v>
      </c>
      <c r="G273" s="8"/>
      <c r="H273" s="8"/>
      <c r="I273" s="8"/>
      <c r="J273" s="8"/>
      <c r="K273" s="8"/>
      <c r="L273" s="8"/>
      <c r="M273" s="8"/>
      <c r="N273" s="8"/>
      <c r="O273" s="8"/>
      <c r="P273" s="8"/>
      <c r="Q273" s="8"/>
      <c r="R273" s="8"/>
      <c r="S273" s="8"/>
      <c r="T273" s="8"/>
      <c r="U273" s="8"/>
      <c r="V273" s="8"/>
      <c r="W273" s="8"/>
      <c r="X273" s="8"/>
      <c r="Y273" s="8"/>
      <c r="Z273" s="8"/>
    </row>
    <row r="274">
      <c r="A274" s="3" t="str">
        <f t="array" ref="A274">INDEX('final-RA-to-framework-summary'!$C$1:$T$1, 1, INT((ROW(A273)-1)/23)+1)</f>
        <v>F12</v>
      </c>
      <c r="B274" s="3" t="str">
        <f t="array" ref="B274">INDEX('final-RA-to-framework-summary'!$C$2:$T$2, 1, INT((ROW(B273)-1)/23)+1)</f>
        <v>RLlib</v>
      </c>
      <c r="C274" s="3" t="str">
        <f t="array" ref="C274">INDEX('final-RA-to-framework-summary'!$B$4:$B$26, MOD(ROW(A273)-1, 23)+1)</f>
        <v>Renderer</v>
      </c>
      <c r="D274" s="3" t="str">
        <f t="array" ref="D274">INDEX('final-RA-to-framework-summary'!$C$4:$Z$26, MOD(ROW(A273)-1, 23)+1, INT((ROW(A273)-1)/23)+1)</f>
        <v>not implemented</v>
      </c>
      <c r="E274" s="8"/>
      <c r="F274" s="8"/>
      <c r="G274" s="8"/>
      <c r="H274" s="8"/>
      <c r="I274" s="8"/>
      <c r="J274" s="8"/>
      <c r="K274" s="8"/>
      <c r="L274" s="8"/>
      <c r="M274" s="8"/>
      <c r="N274" s="8"/>
      <c r="O274" s="8"/>
      <c r="P274" s="8"/>
      <c r="Q274" s="8"/>
      <c r="R274" s="8"/>
      <c r="S274" s="8"/>
      <c r="T274" s="8"/>
      <c r="U274" s="8"/>
      <c r="V274" s="8"/>
      <c r="W274" s="8"/>
      <c r="X274" s="8"/>
      <c r="Y274" s="8"/>
      <c r="Z274" s="8"/>
    </row>
    <row r="275">
      <c r="A275" s="3" t="str">
        <f t="array" ref="A275">INDEX('final-RA-to-framework-summary'!$C$1:$T$1, 1, INT((ROW(A274)-1)/23)+1)</f>
        <v>F12</v>
      </c>
      <c r="B275" s="3" t="str">
        <f t="array" ref="B275">INDEX('final-RA-to-framework-summary'!$C$2:$T$2, 1, INT((ROW(B274)-1)/23)+1)</f>
        <v>RLlib</v>
      </c>
      <c r="C275" s="3" t="str">
        <f t="array" ref="C275">INDEX('final-RA-to-framework-summary'!$B$4:$B$26, MOD(ROW(A274)-1, 23)+1)</f>
        <v>Recorder</v>
      </c>
      <c r="D275" s="3" t="str">
        <f t="array" ref="D275">INDEX('final-RA-to-framework-summary'!$C$4:$Z$26, MOD(ROW(A274)-1, 23)+1, INT((ROW(A274)-1)/23)+1)</f>
        <v>not implemented</v>
      </c>
      <c r="E275" s="8"/>
      <c r="F275" s="8"/>
      <c r="G275" s="8"/>
      <c r="H275" s="8"/>
      <c r="I275" s="8"/>
      <c r="J275" s="8"/>
      <c r="K275" s="8"/>
      <c r="L275" s="8"/>
      <c r="M275" s="8"/>
      <c r="N275" s="8"/>
      <c r="O275" s="8"/>
      <c r="P275" s="8"/>
      <c r="Q275" s="8"/>
      <c r="R275" s="8"/>
      <c r="S275" s="8"/>
      <c r="T275" s="8"/>
      <c r="U275" s="8"/>
      <c r="V275" s="8"/>
      <c r="W275" s="8"/>
      <c r="X275" s="8"/>
      <c r="Y275" s="8"/>
      <c r="Z275" s="8"/>
    </row>
    <row r="276">
      <c r="A276" s="3" t="str">
        <f t="array" ref="A276">INDEX('final-RA-to-framework-summary'!$C$1:$T$1, 1, INT((ROW(A275)-1)/23)+1)</f>
        <v>F12</v>
      </c>
      <c r="B276" s="3" t="str">
        <f t="array" ref="B276">INDEX('final-RA-to-framework-summary'!$C$2:$T$2, 1, INT((ROW(B275)-1)/23)+1)</f>
        <v>RLlib</v>
      </c>
      <c r="C276" s="3" t="str">
        <f t="array" ref="C276">INDEX('final-RA-to-framework-summary'!$B$4:$B$26, MOD(ROW(A275)-1, 23)+1)</f>
        <v>Logger</v>
      </c>
      <c r="D276" s="3" t="str">
        <f t="array" ref="D276">INDEX('final-RA-to-framework-summary'!$C$4:$Z$26, MOD(ROW(A275)-1, 23)+1, INT((ROW(A275)-1)/23)+1)</f>
        <v>explicit</v>
      </c>
      <c r="E276" s="8"/>
      <c r="F276" s="8"/>
      <c r="G276" s="8"/>
      <c r="H276" s="8"/>
      <c r="I276" s="8"/>
      <c r="J276" s="8"/>
      <c r="K276" s="8"/>
      <c r="L276" s="8"/>
      <c r="M276" s="8"/>
      <c r="N276" s="8"/>
      <c r="O276" s="8"/>
      <c r="P276" s="8"/>
      <c r="Q276" s="8"/>
      <c r="R276" s="8"/>
      <c r="S276" s="8"/>
      <c r="T276" s="8"/>
      <c r="U276" s="8"/>
      <c r="V276" s="8"/>
      <c r="W276" s="8"/>
      <c r="X276" s="8"/>
      <c r="Y276" s="8"/>
      <c r="Z276" s="8"/>
    </row>
    <row r="277">
      <c r="A277" s="3" t="str">
        <f t="array" ref="A277">INDEX('final-RA-to-framework-summary'!$C$1:$T$1, 1, INT((ROW(A276)-1)/23)+1)</f>
        <v>F12</v>
      </c>
      <c r="B277" s="3" t="str">
        <f t="array" ref="B277">INDEX('final-RA-to-framework-summary'!$C$2:$T$2, 1, INT((ROW(B276)-1)/23)+1)</f>
        <v>RLlib</v>
      </c>
      <c r="C277" s="3" t="str">
        <f t="array" ref="C277">INDEX('final-RA-to-framework-summary'!$B$4:$B$26, MOD(ROW(A276)-1, 23)+1)</f>
        <v>Reporter</v>
      </c>
      <c r="D277" s="3" t="str">
        <f t="array" ref="D277">INDEX('final-RA-to-framework-summary'!$C$4:$Z$26, MOD(ROW(A276)-1, 23)+1, INT((ROW(A276)-1)/23)+1)</f>
        <v>explicit</v>
      </c>
      <c r="E277" s="9" t="s">
        <v>376</v>
      </c>
      <c r="F277" s="10" t="s">
        <v>377</v>
      </c>
      <c r="G277" s="8"/>
      <c r="H277" s="8"/>
      <c r="I277" s="8"/>
      <c r="J277" s="8"/>
      <c r="K277" s="8"/>
      <c r="L277" s="8"/>
      <c r="M277" s="8"/>
      <c r="N277" s="8"/>
      <c r="O277" s="8"/>
      <c r="P277" s="8"/>
      <c r="Q277" s="8"/>
      <c r="R277" s="8"/>
      <c r="S277" s="8"/>
      <c r="T277" s="8"/>
      <c r="U277" s="8"/>
      <c r="V277" s="8"/>
      <c r="W277" s="8"/>
      <c r="X277" s="8"/>
      <c r="Y277" s="8"/>
      <c r="Z277" s="8"/>
    </row>
    <row r="278">
      <c r="A278" s="3" t="str">
        <f t="array" ref="A278">INDEX('final-RA-to-framework-summary'!$C$1:$T$1, 1, INT((ROW(A277)-1)/23)+1)</f>
        <v>F13</v>
      </c>
      <c r="B278" s="3" t="str">
        <f t="array" ref="B278">INDEX('final-RA-to-framework-summary'!$C$2:$T$2, 1, INT((ROW(B277)-1)/23)+1)</f>
        <v>Acme</v>
      </c>
      <c r="C278" s="3" t="str">
        <f t="array" ref="C278">INDEX('final-RA-to-framework-summary'!$B$4:$B$26, MOD(ROW(A277)-1, 23)+1)</f>
        <v>Experiment Orchestrator</v>
      </c>
      <c r="D278" s="3" t="str">
        <f t="array" ref="D278">INDEX('final-RA-to-framework-summary'!$C$4:$Z$26, MOD(ROW(A277)-1, 23)+1, INT((ROW(A277)-1)/23)+1)</f>
        <v>not implemented</v>
      </c>
      <c r="E278" s="8"/>
      <c r="F278" s="8"/>
      <c r="G278" s="8"/>
      <c r="H278" s="8"/>
      <c r="I278" s="8"/>
      <c r="J278" s="8"/>
      <c r="K278" s="8"/>
      <c r="L278" s="8"/>
      <c r="M278" s="8"/>
      <c r="N278" s="8"/>
      <c r="O278" s="8"/>
      <c r="P278" s="8"/>
      <c r="Q278" s="8"/>
      <c r="R278" s="8"/>
      <c r="S278" s="8"/>
      <c r="T278" s="8"/>
      <c r="U278" s="8"/>
      <c r="V278" s="8"/>
      <c r="W278" s="8"/>
      <c r="X278" s="8"/>
      <c r="Y278" s="8"/>
      <c r="Z278" s="8"/>
    </row>
    <row r="279">
      <c r="A279" s="3" t="str">
        <f t="array" ref="A279">INDEX('final-RA-to-framework-summary'!$C$1:$T$1, 1, INT((ROW(A278)-1)/23)+1)</f>
        <v>F13</v>
      </c>
      <c r="B279" s="3" t="str">
        <f t="array" ref="B279">INDEX('final-RA-to-framework-summary'!$C$2:$T$2, 1, INT((ROW(B278)-1)/23)+1)</f>
        <v>Acme</v>
      </c>
      <c r="C279" s="3" t="str">
        <f t="array" ref="C279">INDEX('final-RA-to-framework-summary'!$B$4:$B$26, MOD(ROW(A278)-1, 23)+1)</f>
        <v>Experiment Manager</v>
      </c>
      <c r="D279" s="3" t="str">
        <f t="array" ref="D279">INDEX('final-RA-to-framework-summary'!$C$4:$Z$26, MOD(ROW(A278)-1, 23)+1, INT((ROW(A278)-1)/23)+1)</f>
        <v>implicit</v>
      </c>
      <c r="E279" s="9" t="s">
        <v>378</v>
      </c>
      <c r="F279" s="10" t="s">
        <v>379</v>
      </c>
      <c r="G279" s="10" t="s">
        <v>380</v>
      </c>
      <c r="H279" s="8"/>
      <c r="I279" s="8"/>
      <c r="J279" s="8"/>
      <c r="K279" s="8"/>
      <c r="L279" s="8"/>
      <c r="M279" s="8"/>
      <c r="N279" s="8"/>
      <c r="O279" s="8"/>
      <c r="P279" s="8"/>
      <c r="Q279" s="8"/>
      <c r="R279" s="8"/>
      <c r="S279" s="8"/>
      <c r="T279" s="8"/>
      <c r="U279" s="8"/>
      <c r="V279" s="8"/>
      <c r="W279" s="8"/>
      <c r="X279" s="8"/>
      <c r="Y279" s="8"/>
      <c r="Z279" s="8"/>
    </row>
    <row r="280">
      <c r="A280" s="3" t="str">
        <f t="array" ref="A280">INDEX('final-RA-to-framework-summary'!$C$1:$T$1, 1, INT((ROW(A279)-1)/23)+1)</f>
        <v>F13</v>
      </c>
      <c r="B280" s="3" t="str">
        <f t="array" ref="B280">INDEX('final-RA-to-framework-summary'!$C$2:$T$2, 1, INT((ROW(B279)-1)/23)+1)</f>
        <v>Acme</v>
      </c>
      <c r="C280" s="3" t="str">
        <f t="array" ref="C280">INDEX('final-RA-to-framework-summary'!$B$4:$B$26, MOD(ROW(A279)-1, 23)+1)</f>
        <v>Hyperparameter Tuner</v>
      </c>
      <c r="D280" s="3" t="str">
        <f t="array" ref="D280">INDEX('final-RA-to-framework-summary'!$C$4:$Z$26, MOD(ROW(A279)-1, 23)+1, INT((ROW(A279)-1)/23)+1)</f>
        <v>not implemented</v>
      </c>
      <c r="E280" s="8"/>
      <c r="F280" s="8"/>
      <c r="G280" s="8"/>
      <c r="H280" s="8"/>
      <c r="I280" s="8"/>
      <c r="J280" s="8"/>
      <c r="K280" s="8"/>
      <c r="L280" s="8"/>
      <c r="M280" s="8"/>
      <c r="N280" s="8"/>
      <c r="O280" s="8"/>
      <c r="P280" s="8"/>
      <c r="Q280" s="8"/>
      <c r="R280" s="8"/>
      <c r="S280" s="8"/>
      <c r="T280" s="8"/>
      <c r="U280" s="8"/>
      <c r="V280" s="8"/>
      <c r="W280" s="8"/>
      <c r="X280" s="8"/>
      <c r="Y280" s="8"/>
      <c r="Z280" s="8"/>
    </row>
    <row r="281">
      <c r="A281" s="3" t="str">
        <f t="array" ref="A281">INDEX('final-RA-to-framework-summary'!$C$1:$T$1, 1, INT((ROW(A280)-1)/23)+1)</f>
        <v>F13</v>
      </c>
      <c r="B281" s="3" t="str">
        <f t="array" ref="B281">INDEX('final-RA-to-framework-summary'!$C$2:$T$2, 1, INT((ROW(B280)-1)/23)+1)</f>
        <v>Acme</v>
      </c>
      <c r="C281" s="3" t="str">
        <f t="array" ref="C281">INDEX('final-RA-to-framework-summary'!$B$4:$B$26, MOD(ROW(A280)-1, 23)+1)</f>
        <v>Benchmark Manager</v>
      </c>
      <c r="D281" s="3" t="str">
        <f t="array" ref="D281">INDEX('final-RA-to-framework-summary'!$C$4:$Z$26, MOD(ROW(A280)-1, 23)+1, INT((ROW(A280)-1)/23)+1)</f>
        <v>not implemented</v>
      </c>
      <c r="E281" s="8"/>
      <c r="F281" s="8"/>
      <c r="G281" s="8"/>
      <c r="H281" s="8"/>
      <c r="I281" s="8"/>
      <c r="J281" s="8"/>
      <c r="K281" s="8"/>
      <c r="L281" s="8"/>
      <c r="M281" s="8"/>
      <c r="N281" s="8"/>
      <c r="O281" s="8"/>
      <c r="P281" s="8"/>
      <c r="Q281" s="8"/>
      <c r="R281" s="8"/>
      <c r="S281" s="8"/>
      <c r="T281" s="8"/>
      <c r="U281" s="8"/>
      <c r="V281" s="8"/>
      <c r="W281" s="8"/>
      <c r="X281" s="8"/>
      <c r="Y281" s="8"/>
      <c r="Z281" s="8"/>
    </row>
    <row r="282">
      <c r="A282" s="3" t="str">
        <f t="array" ref="A282">INDEX('final-RA-to-framework-summary'!$C$1:$T$1, 1, INT((ROW(A281)-1)/23)+1)</f>
        <v>F13</v>
      </c>
      <c r="B282" s="3" t="str">
        <f t="array" ref="B282">INDEX('final-RA-to-framework-summary'!$C$2:$T$2, 1, INT((ROW(B281)-1)/23)+1)</f>
        <v>Acme</v>
      </c>
      <c r="C282" s="3" t="str">
        <f t="array" ref="C282">INDEX('final-RA-to-framework-summary'!$B$4:$B$26, MOD(ROW(A281)-1, 23)+1)</f>
        <v>Framework Orchestrator</v>
      </c>
      <c r="D282" s="3" t="str">
        <f t="array" ref="D282">INDEX('final-RA-to-framework-summary'!$C$4:$Z$26, MOD(ROW(A281)-1, 23)+1, INT((ROW(A281)-1)/23)+1)</f>
        <v>implicit</v>
      </c>
      <c r="E282" s="9" t="s">
        <v>381</v>
      </c>
      <c r="F282" s="10" t="s">
        <v>382</v>
      </c>
      <c r="G282" s="10" t="s">
        <v>383</v>
      </c>
      <c r="H282" s="8"/>
      <c r="I282" s="8"/>
      <c r="J282" s="8"/>
      <c r="K282" s="8"/>
      <c r="L282" s="8"/>
      <c r="M282" s="8"/>
      <c r="N282" s="8"/>
      <c r="O282" s="8"/>
      <c r="P282" s="8"/>
      <c r="Q282" s="8"/>
      <c r="R282" s="8"/>
      <c r="S282" s="8"/>
      <c r="T282" s="8"/>
      <c r="U282" s="8"/>
      <c r="V282" s="8"/>
      <c r="W282" s="8"/>
      <c r="X282" s="8"/>
      <c r="Y282" s="8"/>
      <c r="Z282" s="8"/>
    </row>
    <row r="283">
      <c r="A283" s="3" t="str">
        <f t="array" ref="A283">INDEX('final-RA-to-framework-summary'!$C$1:$T$1, 1, INT((ROW(A282)-1)/23)+1)</f>
        <v>F13</v>
      </c>
      <c r="B283" s="3" t="str">
        <f t="array" ref="B283">INDEX('final-RA-to-framework-summary'!$C$2:$T$2, 1, INT((ROW(B282)-1)/23)+1)</f>
        <v>Acme</v>
      </c>
      <c r="C283" s="3" t="str">
        <f t="array" ref="C283">INDEX('final-RA-to-framework-summary'!$B$4:$B$26, MOD(ROW(A282)-1, 23)+1)</f>
        <v>Lifecycle Manager</v>
      </c>
      <c r="D283" s="3" t="str">
        <f t="array" ref="D283">INDEX('final-RA-to-framework-summary'!$C$4:$Z$26, MOD(ROW(A282)-1, 23)+1, INT((ROW(A282)-1)/23)+1)</f>
        <v>explicit</v>
      </c>
      <c r="E283" s="9" t="s">
        <v>384</v>
      </c>
      <c r="F283" s="10" t="s">
        <v>385</v>
      </c>
      <c r="G283" s="8"/>
      <c r="H283" s="8"/>
      <c r="I283" s="8"/>
      <c r="J283" s="8"/>
      <c r="K283" s="8"/>
      <c r="L283" s="8"/>
      <c r="M283" s="8"/>
      <c r="N283" s="8"/>
      <c r="O283" s="8"/>
      <c r="P283" s="8"/>
      <c r="Q283" s="8"/>
      <c r="R283" s="8"/>
      <c r="S283" s="8"/>
      <c r="T283" s="8"/>
      <c r="U283" s="8"/>
      <c r="V283" s="8"/>
      <c r="W283" s="8"/>
      <c r="X283" s="8"/>
      <c r="Y283" s="8"/>
      <c r="Z283" s="8"/>
    </row>
    <row r="284">
      <c r="A284" s="3" t="str">
        <f t="array" ref="A284">INDEX('final-RA-to-framework-summary'!$C$1:$T$1, 1, INT((ROW(A283)-1)/23)+1)</f>
        <v>F13</v>
      </c>
      <c r="B284" s="3" t="str">
        <f t="array" ref="B284">INDEX('final-RA-to-framework-summary'!$C$2:$T$2, 1, INT((ROW(B283)-1)/23)+1)</f>
        <v>Acme</v>
      </c>
      <c r="C284" s="3" t="str">
        <f t="array" ref="C284">INDEX('final-RA-to-framework-summary'!$B$4:$B$26, MOD(ROW(A283)-1, 23)+1)</f>
        <v>Configuration Manager</v>
      </c>
      <c r="D284" s="3" t="str">
        <f t="array" ref="D284">INDEX('final-RA-to-framework-summary'!$C$4:$Z$26, MOD(ROW(A283)-1, 23)+1, INT((ROW(A283)-1)/23)+1)</f>
        <v>not implemented</v>
      </c>
      <c r="E284" s="8"/>
      <c r="F284" s="8"/>
      <c r="G284" s="8"/>
      <c r="H284" s="8"/>
      <c r="I284" s="8"/>
      <c r="J284" s="8"/>
      <c r="K284" s="8"/>
      <c r="L284" s="8"/>
      <c r="M284" s="8"/>
      <c r="N284" s="8"/>
      <c r="O284" s="8"/>
      <c r="P284" s="8"/>
      <c r="Q284" s="8"/>
      <c r="R284" s="8"/>
      <c r="S284" s="8"/>
      <c r="T284" s="8"/>
      <c r="U284" s="8"/>
      <c r="V284" s="8"/>
      <c r="W284" s="8"/>
      <c r="X284" s="8"/>
      <c r="Y284" s="8"/>
      <c r="Z284" s="8"/>
    </row>
    <row r="285">
      <c r="A285" s="3" t="str">
        <f t="array" ref="A285">INDEX('final-RA-to-framework-summary'!$C$1:$T$1, 1, INT((ROW(A284)-1)/23)+1)</f>
        <v>F13</v>
      </c>
      <c r="B285" s="3" t="str">
        <f t="array" ref="B285">INDEX('final-RA-to-framework-summary'!$C$2:$T$2, 1, INT((ROW(B284)-1)/23)+1)</f>
        <v>Acme</v>
      </c>
      <c r="C285" s="3" t="str">
        <f t="array" ref="C285">INDEX('final-RA-to-framework-summary'!$B$4:$B$26, MOD(ROW(A284)-1, 23)+1)</f>
        <v>Multi-Agent Coordinator</v>
      </c>
      <c r="D285" s="3" t="str">
        <f t="array" ref="D285">INDEX('final-RA-to-framework-summary'!$C$4:$Z$26, MOD(ROW(A284)-1, 23)+1, INT((ROW(A284)-1)/23)+1)</f>
        <v>not implemented</v>
      </c>
      <c r="E285" s="8"/>
      <c r="F285" s="8"/>
      <c r="G285" s="8"/>
      <c r="H285" s="8"/>
      <c r="I285" s="8"/>
      <c r="J285" s="8"/>
      <c r="K285" s="8"/>
      <c r="L285" s="8"/>
      <c r="M285" s="8"/>
      <c r="N285" s="8"/>
      <c r="O285" s="8"/>
      <c r="P285" s="8"/>
      <c r="Q285" s="8"/>
      <c r="R285" s="8"/>
      <c r="S285" s="8"/>
      <c r="T285" s="8"/>
      <c r="U285" s="8"/>
      <c r="V285" s="8"/>
      <c r="W285" s="8"/>
      <c r="X285" s="8"/>
      <c r="Y285" s="8"/>
      <c r="Z285" s="8"/>
    </row>
    <row r="286">
      <c r="A286" s="3" t="str">
        <f t="array" ref="A286">INDEX('final-RA-to-framework-summary'!$C$1:$T$1, 1, INT((ROW(A285)-1)/23)+1)</f>
        <v>F13</v>
      </c>
      <c r="B286" s="3" t="str">
        <f t="array" ref="B286">INDEX('final-RA-to-framework-summary'!$C$2:$T$2, 1, INT((ROW(B285)-1)/23)+1)</f>
        <v>Acme</v>
      </c>
      <c r="C286" s="3" t="str">
        <f t="array" ref="C286">INDEX('final-RA-to-framework-summary'!$B$4:$B$26, MOD(ROW(A285)-1, 23)+1)</f>
        <v>Distributed Execution 
Coordinator</v>
      </c>
      <c r="D286" s="3" t="str">
        <f t="array" ref="D286">INDEX('final-RA-to-framework-summary'!$C$4:$Z$26, MOD(ROW(A285)-1, 23)+1, INT((ROW(A285)-1)/23)+1)</f>
        <v>external</v>
      </c>
      <c r="E286" s="9" t="s">
        <v>386</v>
      </c>
      <c r="F286" s="10" t="s">
        <v>387</v>
      </c>
      <c r="G286" s="10" t="s">
        <v>388</v>
      </c>
      <c r="H286" s="10" t="s">
        <v>389</v>
      </c>
      <c r="I286" s="8"/>
      <c r="J286" s="8"/>
      <c r="K286" s="8"/>
      <c r="L286" s="8"/>
      <c r="M286" s="8"/>
      <c r="N286" s="8"/>
      <c r="O286" s="8"/>
      <c r="P286" s="8"/>
      <c r="Q286" s="8"/>
      <c r="R286" s="8"/>
      <c r="S286" s="8"/>
      <c r="T286" s="8"/>
      <c r="U286" s="8"/>
      <c r="V286" s="8"/>
      <c r="W286" s="8"/>
      <c r="X286" s="8"/>
      <c r="Y286" s="8"/>
      <c r="Z286" s="8"/>
    </row>
    <row r="287">
      <c r="A287" s="3" t="str">
        <f t="array" ref="A287">INDEX('final-RA-to-framework-summary'!$C$1:$T$1, 1, INT((ROW(A286)-1)/23)+1)</f>
        <v>F13</v>
      </c>
      <c r="B287" s="3" t="str">
        <f t="array" ref="B287">INDEX('final-RA-to-framework-summary'!$C$2:$T$2, 1, INT((ROW(B286)-1)/23)+1)</f>
        <v>Acme</v>
      </c>
      <c r="C287" s="3" t="str">
        <f t="array" ref="C287">INDEX('final-RA-to-framework-summary'!$B$4:$B$26, MOD(ROW(A286)-1, 23)+1)</f>
        <v>Agent</v>
      </c>
      <c r="D287" s="3" t="str">
        <f t="array" ref="D287">INDEX('final-RA-to-framework-summary'!$C$4:$Z$26, MOD(ROW(A286)-1, 23)+1, INT((ROW(A286)-1)/23)+1)</f>
        <v>explicit</v>
      </c>
      <c r="E287" s="9" t="s">
        <v>390</v>
      </c>
      <c r="F287" s="10" t="s">
        <v>391</v>
      </c>
      <c r="G287" s="8"/>
      <c r="H287" s="8"/>
      <c r="I287" s="8"/>
      <c r="J287" s="8"/>
      <c r="K287" s="8"/>
      <c r="L287" s="8"/>
      <c r="M287" s="8"/>
      <c r="N287" s="8"/>
      <c r="O287" s="8"/>
      <c r="P287" s="8"/>
      <c r="Q287" s="8"/>
      <c r="R287" s="8"/>
      <c r="S287" s="8"/>
      <c r="T287" s="8"/>
      <c r="U287" s="8"/>
      <c r="V287" s="8"/>
      <c r="W287" s="8"/>
      <c r="X287" s="8"/>
      <c r="Y287" s="8"/>
      <c r="Z287" s="8"/>
    </row>
    <row r="288">
      <c r="A288" s="3" t="str">
        <f t="array" ref="A288">INDEX('final-RA-to-framework-summary'!$C$1:$T$1, 1, INT((ROW(A287)-1)/23)+1)</f>
        <v>F13</v>
      </c>
      <c r="B288" s="3" t="str">
        <f t="array" ref="B288">INDEX('final-RA-to-framework-summary'!$C$2:$T$2, 1, INT((ROW(B287)-1)/23)+1)</f>
        <v>Acme</v>
      </c>
      <c r="C288" s="3" t="str">
        <f t="array" ref="C288">INDEX('final-RA-to-framework-summary'!$B$4:$B$26, MOD(ROW(A287)-1, 23)+1)</f>
        <v>Function Approximator</v>
      </c>
      <c r="D288" s="3" t="str">
        <f t="array" ref="D288">INDEX('final-RA-to-framework-summary'!$C$4:$Z$26, MOD(ROW(A287)-1, 23)+1, INT((ROW(A287)-1)/23)+1)</f>
        <v>explicit</v>
      </c>
      <c r="E288" s="16" t="s">
        <v>392</v>
      </c>
      <c r="F288" s="10" t="s">
        <v>393</v>
      </c>
      <c r="G288" s="10" t="s">
        <v>394</v>
      </c>
      <c r="H288" s="8"/>
      <c r="I288" s="8"/>
      <c r="J288" s="8"/>
      <c r="K288" s="8"/>
      <c r="L288" s="8"/>
      <c r="M288" s="8"/>
      <c r="N288" s="8"/>
      <c r="O288" s="8"/>
      <c r="P288" s="8"/>
      <c r="Q288" s="8"/>
      <c r="R288" s="8"/>
      <c r="S288" s="8"/>
      <c r="T288" s="8"/>
      <c r="U288" s="8"/>
      <c r="V288" s="8"/>
      <c r="W288" s="8"/>
      <c r="X288" s="8"/>
      <c r="Y288" s="8"/>
      <c r="Z288" s="8"/>
    </row>
    <row r="289">
      <c r="A289" s="3" t="str">
        <f t="array" ref="A289">INDEX('final-RA-to-framework-summary'!$C$1:$T$1, 1, INT((ROW(A288)-1)/23)+1)</f>
        <v>F13</v>
      </c>
      <c r="B289" s="3" t="str">
        <f t="array" ref="B289">INDEX('final-RA-to-framework-summary'!$C$2:$T$2, 1, INT((ROW(B288)-1)/23)+1)</f>
        <v>Acme</v>
      </c>
      <c r="C289" s="3" t="str">
        <f t="array" ref="C289">INDEX('final-RA-to-framework-summary'!$B$4:$B$26, MOD(ROW(A288)-1, 23)+1)</f>
        <v>Buffer</v>
      </c>
      <c r="D289" s="3" t="str">
        <f t="array" ref="D289">INDEX('final-RA-to-framework-summary'!$C$4:$Z$26, MOD(ROW(A288)-1, 23)+1, INT((ROW(A288)-1)/23)+1)</f>
        <v>external</v>
      </c>
      <c r="E289" s="9" t="s">
        <v>395</v>
      </c>
      <c r="F289" s="10" t="s">
        <v>396</v>
      </c>
      <c r="G289" s="10" t="s">
        <v>397</v>
      </c>
      <c r="H289" s="10" t="s">
        <v>398</v>
      </c>
      <c r="I289" s="8"/>
      <c r="J289" s="8"/>
      <c r="K289" s="8"/>
      <c r="L289" s="8"/>
      <c r="M289" s="8"/>
      <c r="N289" s="8"/>
      <c r="O289" s="8"/>
      <c r="P289" s="8"/>
      <c r="Q289" s="8"/>
      <c r="R289" s="8"/>
      <c r="S289" s="8"/>
      <c r="T289" s="8"/>
      <c r="U289" s="8"/>
      <c r="V289" s="8"/>
      <c r="W289" s="8"/>
      <c r="X289" s="8"/>
      <c r="Y289" s="8"/>
      <c r="Z289" s="8"/>
    </row>
    <row r="290">
      <c r="A290" s="3" t="str">
        <f t="array" ref="A290">INDEX('final-RA-to-framework-summary'!$C$1:$T$1, 1, INT((ROW(A289)-1)/23)+1)</f>
        <v>F13</v>
      </c>
      <c r="B290" s="3" t="str">
        <f t="array" ref="B290">INDEX('final-RA-to-framework-summary'!$C$2:$T$2, 1, INT((ROW(B289)-1)/23)+1)</f>
        <v>Acme</v>
      </c>
      <c r="C290" s="3" t="str">
        <f t="array" ref="C290">INDEX('final-RA-to-framework-summary'!$B$4:$B$26, MOD(ROW(A289)-1, 23)+1)</f>
        <v>Learner</v>
      </c>
      <c r="D290" s="3" t="str">
        <f t="array" ref="D290">INDEX('final-RA-to-framework-summary'!$C$4:$Z$26, MOD(ROW(A289)-1, 23)+1, INT((ROW(A289)-1)/23)+1)</f>
        <v>explicit</v>
      </c>
      <c r="E290" s="14" t="s">
        <v>399</v>
      </c>
      <c r="F290" s="10" t="s">
        <v>400</v>
      </c>
      <c r="G290" s="8"/>
      <c r="H290" s="8"/>
      <c r="I290" s="8"/>
      <c r="J290" s="8"/>
      <c r="K290" s="8"/>
      <c r="L290" s="8"/>
      <c r="M290" s="8"/>
      <c r="N290" s="8"/>
      <c r="O290" s="8"/>
      <c r="P290" s="8"/>
      <c r="Q290" s="8"/>
      <c r="R290" s="8"/>
      <c r="S290" s="8"/>
      <c r="T290" s="8"/>
      <c r="U290" s="8"/>
      <c r="V290" s="8"/>
      <c r="W290" s="8"/>
      <c r="X290" s="8"/>
      <c r="Y290" s="8"/>
      <c r="Z290" s="8"/>
    </row>
    <row r="291">
      <c r="A291" s="3" t="str">
        <f t="array" ref="A291">INDEX('final-RA-to-framework-summary'!$C$1:$T$1, 1, INT((ROW(A290)-1)/23)+1)</f>
        <v>F13</v>
      </c>
      <c r="B291" s="3" t="str">
        <f t="array" ref="B291">INDEX('final-RA-to-framework-summary'!$C$2:$T$2, 1, INT((ROW(B290)-1)/23)+1)</f>
        <v>Acme</v>
      </c>
      <c r="C291" s="3" t="str">
        <f t="array" ref="C291">INDEX('final-RA-to-framework-summary'!$B$4:$B$26, MOD(ROW(A290)-1, 23)+1)</f>
        <v>Environment</v>
      </c>
      <c r="D291" s="3" t="str">
        <f t="array" ref="D291">INDEX('final-RA-to-framework-summary'!$C$4:$Z$26, MOD(ROW(A290)-1, 23)+1, INT((ROW(A290)-1)/23)+1)</f>
        <v>not implemented</v>
      </c>
      <c r="E291" s="8"/>
      <c r="F291" s="8"/>
      <c r="G291" s="8"/>
      <c r="H291" s="8"/>
      <c r="I291" s="8"/>
      <c r="J291" s="8"/>
      <c r="K291" s="8"/>
      <c r="L291" s="8"/>
      <c r="M291" s="8"/>
      <c r="N291" s="8"/>
      <c r="O291" s="8"/>
      <c r="P291" s="8"/>
      <c r="Q291" s="8"/>
      <c r="R291" s="8"/>
      <c r="S291" s="8"/>
      <c r="T291" s="8"/>
      <c r="U291" s="8"/>
      <c r="V291" s="8"/>
      <c r="W291" s="8"/>
      <c r="X291" s="8"/>
      <c r="Y291" s="8"/>
      <c r="Z291" s="8"/>
    </row>
    <row r="292">
      <c r="A292" s="3" t="str">
        <f t="array" ref="A292">INDEX('final-RA-to-framework-summary'!$C$1:$T$1, 1, INT((ROW(A291)-1)/23)+1)</f>
        <v>F13</v>
      </c>
      <c r="B292" s="3" t="str">
        <f t="array" ref="B292">INDEX('final-RA-to-framework-summary'!$C$2:$T$2, 1, INT((ROW(B291)-1)/23)+1)</f>
        <v>Acme</v>
      </c>
      <c r="C292" s="3" t="str">
        <f t="array" ref="C292">INDEX('final-RA-to-framework-summary'!$B$4:$B$26, MOD(ROW(A291)-1, 23)+1)</f>
        <v>Environment Core</v>
      </c>
      <c r="D292" s="3" t="str">
        <f t="array" ref="D292">INDEX('final-RA-to-framework-summary'!$C$4:$Z$26, MOD(ROW(A291)-1, 23)+1, INT((ROW(A291)-1)/23)+1)</f>
        <v>not implemented</v>
      </c>
      <c r="E292" s="8"/>
      <c r="F292" s="8"/>
      <c r="G292" s="8"/>
      <c r="H292" s="8"/>
      <c r="I292" s="8"/>
      <c r="J292" s="8"/>
      <c r="K292" s="8"/>
      <c r="L292" s="8"/>
      <c r="M292" s="8"/>
      <c r="N292" s="8"/>
      <c r="O292" s="8"/>
      <c r="P292" s="8"/>
      <c r="Q292" s="8"/>
      <c r="R292" s="8"/>
      <c r="S292" s="8"/>
      <c r="T292" s="8"/>
      <c r="U292" s="8"/>
      <c r="V292" s="8"/>
      <c r="W292" s="8"/>
      <c r="X292" s="8"/>
      <c r="Y292" s="8"/>
      <c r="Z292" s="8"/>
    </row>
    <row r="293">
      <c r="A293" s="3" t="str">
        <f t="array" ref="A293">INDEX('final-RA-to-framework-summary'!$C$1:$T$1, 1, INT((ROW(A292)-1)/23)+1)</f>
        <v>F13</v>
      </c>
      <c r="B293" s="3" t="str">
        <f t="array" ref="B293">INDEX('final-RA-to-framework-summary'!$C$2:$T$2, 1, INT((ROW(B292)-1)/23)+1)</f>
        <v>Acme</v>
      </c>
      <c r="C293" s="3" t="str">
        <f t="array" ref="C293">INDEX('final-RA-to-framework-summary'!$B$4:$B$26, MOD(ROW(A292)-1, 23)+1)</f>
        <v>Simulator</v>
      </c>
      <c r="D293" s="3" t="str">
        <f t="array" ref="D293">INDEX('final-RA-to-framework-summary'!$C$4:$Z$26, MOD(ROW(A292)-1, 23)+1, INT((ROW(A292)-1)/23)+1)</f>
        <v>not implemented</v>
      </c>
      <c r="E293" s="8"/>
      <c r="F293" s="8"/>
      <c r="G293" s="8"/>
      <c r="H293" s="8"/>
      <c r="I293" s="8"/>
      <c r="J293" s="8"/>
      <c r="K293" s="8"/>
      <c r="L293" s="8"/>
      <c r="M293" s="8"/>
      <c r="N293" s="8"/>
      <c r="O293" s="8"/>
      <c r="P293" s="8"/>
      <c r="Q293" s="8"/>
      <c r="R293" s="8"/>
      <c r="S293" s="8"/>
      <c r="T293" s="8"/>
      <c r="U293" s="8"/>
      <c r="V293" s="8"/>
      <c r="W293" s="8"/>
      <c r="X293" s="8"/>
      <c r="Y293" s="8"/>
      <c r="Z293" s="8"/>
    </row>
    <row r="294">
      <c r="A294" s="3" t="str">
        <f t="array" ref="A294">INDEX('final-RA-to-framework-summary'!$C$1:$T$1, 1, INT((ROW(A293)-1)/23)+1)</f>
        <v>F13</v>
      </c>
      <c r="B294" s="3" t="str">
        <f t="array" ref="B294">INDEX('final-RA-to-framework-summary'!$C$2:$T$2, 1, INT((ROW(B293)-1)/23)+1)</f>
        <v>Acme</v>
      </c>
      <c r="C294" s="3" t="str">
        <f t="array" ref="C294">INDEX('final-RA-to-framework-summary'!$B$4:$B$26, MOD(ROW(A293)-1, 23)+1)</f>
        <v>Simulator Adapter</v>
      </c>
      <c r="D294" s="3" t="str">
        <f t="array" ref="D294">INDEX('final-RA-to-framework-summary'!$C$4:$Z$26, MOD(ROW(A293)-1, 23)+1, INT((ROW(A293)-1)/23)+1)</f>
        <v>not implemented</v>
      </c>
      <c r="E294" s="8"/>
      <c r="F294" s="8"/>
      <c r="G294" s="8"/>
      <c r="H294" s="8"/>
      <c r="I294" s="8"/>
      <c r="J294" s="8"/>
      <c r="K294" s="8"/>
      <c r="L294" s="8"/>
      <c r="M294" s="8"/>
      <c r="N294" s="8"/>
      <c r="O294" s="8"/>
      <c r="P294" s="8"/>
      <c r="Q294" s="8"/>
      <c r="R294" s="8"/>
      <c r="S294" s="8"/>
      <c r="T294" s="8"/>
      <c r="U294" s="8"/>
      <c r="V294" s="8"/>
      <c r="W294" s="8"/>
      <c r="X294" s="8"/>
      <c r="Y294" s="8"/>
      <c r="Z294" s="8"/>
    </row>
    <row r="295">
      <c r="A295" s="3" t="str">
        <f t="array" ref="A295">INDEX('final-RA-to-framework-summary'!$C$1:$T$1, 1, INT((ROW(A294)-1)/23)+1)</f>
        <v>F13</v>
      </c>
      <c r="B295" s="3" t="str">
        <f t="array" ref="B295">INDEX('final-RA-to-framework-summary'!$C$2:$T$2, 1, INT((ROW(B294)-1)/23)+1)</f>
        <v>Acme</v>
      </c>
      <c r="C295" s="3" t="str">
        <f t="array" ref="C295">INDEX('final-RA-to-framework-summary'!$B$4:$B$26, MOD(ROW(A294)-1, 23)+1)</f>
        <v>Checkpoint Manager</v>
      </c>
      <c r="D295" s="3" t="str">
        <f t="array" ref="D295">INDEX('final-RA-to-framework-summary'!$C$4:$Z$26, MOD(ROW(A294)-1, 23)+1, INT((ROW(A294)-1)/23)+1)</f>
        <v>explicit</v>
      </c>
      <c r="E295" s="9" t="s">
        <v>401</v>
      </c>
      <c r="F295" s="10" t="s">
        <v>402</v>
      </c>
      <c r="G295" s="8"/>
      <c r="H295" s="8"/>
      <c r="I295" s="8"/>
      <c r="J295" s="8"/>
      <c r="K295" s="8"/>
      <c r="L295" s="8"/>
      <c r="M295" s="8"/>
      <c r="N295" s="8"/>
      <c r="O295" s="8"/>
      <c r="P295" s="8"/>
      <c r="Q295" s="8"/>
      <c r="R295" s="8"/>
      <c r="S295" s="8"/>
      <c r="T295" s="8"/>
      <c r="U295" s="8"/>
      <c r="V295" s="8"/>
      <c r="W295" s="8"/>
      <c r="X295" s="8"/>
      <c r="Y295" s="8"/>
      <c r="Z295" s="8"/>
    </row>
    <row r="296">
      <c r="A296" s="3" t="str">
        <f t="array" ref="A296">INDEX('final-RA-to-framework-summary'!$C$1:$T$1, 1, INT((ROW(A295)-1)/23)+1)</f>
        <v>F13</v>
      </c>
      <c r="B296" s="3" t="str">
        <f t="array" ref="B296">INDEX('final-RA-to-framework-summary'!$C$2:$T$2, 1, INT((ROW(B295)-1)/23)+1)</f>
        <v>Acme</v>
      </c>
      <c r="C296" s="3" t="str">
        <f t="array" ref="C296">INDEX('final-RA-to-framework-summary'!$B$4:$B$26, MOD(ROW(A295)-1, 23)+1)</f>
        <v>Environment Parameter 
Manager</v>
      </c>
      <c r="D296" s="3" t="str">
        <f t="array" ref="D296">INDEX('final-RA-to-framework-summary'!$C$4:$Z$26, MOD(ROW(A295)-1, 23)+1, INT((ROW(A295)-1)/23)+1)</f>
        <v>not implemented</v>
      </c>
      <c r="E296" s="8"/>
      <c r="F296" s="8"/>
      <c r="G296" s="8"/>
      <c r="H296" s="8"/>
      <c r="I296" s="8"/>
      <c r="J296" s="8"/>
      <c r="K296" s="8"/>
      <c r="L296" s="8"/>
      <c r="M296" s="8"/>
      <c r="N296" s="8"/>
      <c r="O296" s="8"/>
      <c r="P296" s="8"/>
      <c r="Q296" s="8"/>
      <c r="R296" s="8"/>
      <c r="S296" s="8"/>
      <c r="T296" s="8"/>
      <c r="U296" s="8"/>
      <c r="V296" s="8"/>
      <c r="W296" s="8"/>
      <c r="X296" s="8"/>
      <c r="Y296" s="8"/>
      <c r="Z296" s="8"/>
    </row>
    <row r="297">
      <c r="A297" s="3" t="str">
        <f t="array" ref="A297">INDEX('final-RA-to-framework-summary'!$C$1:$T$1, 1, INT((ROW(A296)-1)/23)+1)</f>
        <v>F13</v>
      </c>
      <c r="B297" s="3" t="str">
        <f t="array" ref="B297">INDEX('final-RA-to-framework-summary'!$C$2:$T$2, 1, INT((ROW(B296)-1)/23)+1)</f>
        <v>Acme</v>
      </c>
      <c r="C297" s="3" t="str">
        <f t="array" ref="C297">INDEX('final-RA-to-framework-summary'!$B$4:$B$26, MOD(ROW(A296)-1, 23)+1)</f>
        <v>Renderer</v>
      </c>
      <c r="D297" s="3" t="str">
        <f t="array" ref="D297">INDEX('final-RA-to-framework-summary'!$C$4:$Z$26, MOD(ROW(A296)-1, 23)+1, INT((ROW(A296)-1)/23)+1)</f>
        <v>not implemented</v>
      </c>
      <c r="E297" s="8"/>
      <c r="F297" s="8"/>
      <c r="G297" s="8"/>
      <c r="H297" s="8"/>
      <c r="I297" s="8"/>
      <c r="J297" s="8"/>
      <c r="K297" s="8"/>
      <c r="L297" s="8"/>
      <c r="M297" s="8"/>
      <c r="N297" s="8"/>
      <c r="O297" s="8"/>
      <c r="P297" s="8"/>
      <c r="Q297" s="8"/>
      <c r="R297" s="8"/>
      <c r="S297" s="8"/>
      <c r="T297" s="8"/>
      <c r="U297" s="8"/>
      <c r="V297" s="8"/>
      <c r="W297" s="8"/>
      <c r="X297" s="8"/>
      <c r="Y297" s="8"/>
      <c r="Z297" s="8"/>
    </row>
    <row r="298">
      <c r="A298" s="3" t="str">
        <f t="array" ref="A298">INDEX('final-RA-to-framework-summary'!$C$1:$T$1, 1, INT((ROW(A297)-1)/23)+1)</f>
        <v>F13</v>
      </c>
      <c r="B298" s="3" t="str">
        <f t="array" ref="B298">INDEX('final-RA-to-framework-summary'!$C$2:$T$2, 1, INT((ROW(B297)-1)/23)+1)</f>
        <v>Acme</v>
      </c>
      <c r="C298" s="3" t="str">
        <f t="array" ref="C298">INDEX('final-RA-to-framework-summary'!$B$4:$B$26, MOD(ROW(A297)-1, 23)+1)</f>
        <v>Recorder</v>
      </c>
      <c r="D298" s="3" t="str">
        <f t="array" ref="D298">INDEX('final-RA-to-framework-summary'!$C$4:$Z$26, MOD(ROW(A297)-1, 23)+1, INT((ROW(A297)-1)/23)+1)</f>
        <v>explicit</v>
      </c>
      <c r="E298" s="9" t="s">
        <v>403</v>
      </c>
      <c r="F298" s="10" t="s">
        <v>404</v>
      </c>
      <c r="G298" s="8"/>
      <c r="H298" s="8"/>
      <c r="I298" s="8"/>
      <c r="J298" s="8"/>
      <c r="K298" s="8"/>
      <c r="L298" s="8"/>
      <c r="M298" s="8"/>
      <c r="N298" s="8"/>
      <c r="O298" s="8"/>
      <c r="P298" s="8"/>
      <c r="Q298" s="8"/>
      <c r="R298" s="8"/>
      <c r="S298" s="8"/>
      <c r="T298" s="8"/>
      <c r="U298" s="8"/>
      <c r="V298" s="8"/>
      <c r="W298" s="8"/>
      <c r="X298" s="8"/>
      <c r="Y298" s="8"/>
      <c r="Z298" s="8"/>
    </row>
    <row r="299">
      <c r="A299" s="3" t="str">
        <f t="array" ref="A299">INDEX('final-RA-to-framework-summary'!$C$1:$T$1, 1, INT((ROW(A298)-1)/23)+1)</f>
        <v>F13</v>
      </c>
      <c r="B299" s="3" t="str">
        <f t="array" ref="B299">INDEX('final-RA-to-framework-summary'!$C$2:$T$2, 1, INT((ROW(B298)-1)/23)+1)</f>
        <v>Acme</v>
      </c>
      <c r="C299" s="3" t="str">
        <f t="array" ref="C299">INDEX('final-RA-to-framework-summary'!$B$4:$B$26, MOD(ROW(A298)-1, 23)+1)</f>
        <v>Logger</v>
      </c>
      <c r="D299" s="3" t="str">
        <f t="array" ref="D299">INDEX('final-RA-to-framework-summary'!$C$4:$Z$26, MOD(ROW(A298)-1, 23)+1, INT((ROW(A298)-1)/23)+1)</f>
        <v>explicit</v>
      </c>
      <c r="E299" s="9" t="s">
        <v>405</v>
      </c>
      <c r="F299" s="10" t="s">
        <v>406</v>
      </c>
      <c r="G299" s="8"/>
      <c r="H299" s="8"/>
      <c r="I299" s="8"/>
      <c r="J299" s="8"/>
      <c r="K299" s="8"/>
      <c r="L299" s="8"/>
      <c r="M299" s="8"/>
      <c r="N299" s="8"/>
      <c r="O299" s="8"/>
      <c r="P299" s="8"/>
      <c r="Q299" s="8"/>
      <c r="R299" s="8"/>
      <c r="S299" s="8"/>
      <c r="T299" s="8"/>
      <c r="U299" s="8"/>
      <c r="V299" s="8"/>
      <c r="W299" s="8"/>
      <c r="X299" s="8"/>
      <c r="Y299" s="8"/>
      <c r="Z299" s="8"/>
    </row>
    <row r="300">
      <c r="A300" s="3" t="str">
        <f t="array" ref="A300">INDEX('final-RA-to-framework-summary'!$C$1:$T$1, 1, INT((ROW(A299)-1)/23)+1)</f>
        <v>F13</v>
      </c>
      <c r="B300" s="3" t="str">
        <f t="array" ref="B300">INDEX('final-RA-to-framework-summary'!$C$2:$T$2, 1, INT((ROW(B299)-1)/23)+1)</f>
        <v>Acme</v>
      </c>
      <c r="C300" s="3" t="str">
        <f t="array" ref="C300">INDEX('final-RA-to-framework-summary'!$B$4:$B$26, MOD(ROW(A299)-1, 23)+1)</f>
        <v>Reporter</v>
      </c>
      <c r="D300" s="3" t="str">
        <f t="array" ref="D300">INDEX('final-RA-to-framework-summary'!$C$4:$Z$26, MOD(ROW(A299)-1, 23)+1, INT((ROW(A299)-1)/23)+1)</f>
        <v>not implemented</v>
      </c>
      <c r="E300" s="8"/>
      <c r="F300" s="8"/>
      <c r="G300" s="8"/>
      <c r="H300" s="8"/>
      <c r="I300" s="8"/>
      <c r="J300" s="8"/>
      <c r="K300" s="8"/>
      <c r="L300" s="8"/>
      <c r="M300" s="8"/>
      <c r="N300" s="8"/>
      <c r="O300" s="8"/>
      <c r="P300" s="8"/>
      <c r="Q300" s="8"/>
      <c r="R300" s="8"/>
      <c r="S300" s="8"/>
      <c r="T300" s="8"/>
      <c r="U300" s="8"/>
      <c r="V300" s="8"/>
      <c r="W300" s="8"/>
      <c r="X300" s="8"/>
      <c r="Y300" s="8"/>
      <c r="Z300" s="8"/>
    </row>
    <row r="301">
      <c r="A301" s="3" t="str">
        <f t="array" ref="A301">INDEX('final-RA-to-framework-summary'!$C$1:$T$1, 1, INT((ROW(A300)-1)/23)+1)</f>
        <v>F14</v>
      </c>
      <c r="B301" s="3" t="str">
        <f t="array" ref="B301">INDEX('final-RA-to-framework-summary'!$C$2:$T$2, 1, INT((ROW(B300)-1)/23)+1)</f>
        <v>MARLlib</v>
      </c>
      <c r="C301" s="3" t="str">
        <f t="array" ref="C301">INDEX('final-RA-to-framework-summary'!$B$4:$B$26, MOD(ROW(A300)-1, 23)+1)</f>
        <v>Experiment Orchestrator</v>
      </c>
      <c r="D301" s="3" t="str">
        <f t="array" ref="D301">INDEX('final-RA-to-framework-summary'!$C$4:$Z$26, MOD(ROW(A300)-1, 23)+1, INT((ROW(A300)-1)/23)+1)</f>
        <v>not implemented</v>
      </c>
      <c r="E301" s="8"/>
      <c r="F301" s="8"/>
      <c r="G301" s="8"/>
      <c r="H301" s="8"/>
      <c r="I301" s="8"/>
      <c r="J301" s="8"/>
      <c r="K301" s="8"/>
      <c r="L301" s="8"/>
      <c r="M301" s="8"/>
      <c r="N301" s="8"/>
      <c r="O301" s="8"/>
      <c r="P301" s="8"/>
      <c r="Q301" s="8"/>
      <c r="R301" s="8"/>
      <c r="S301" s="8"/>
      <c r="T301" s="8"/>
      <c r="U301" s="8"/>
      <c r="V301" s="8"/>
      <c r="W301" s="8"/>
      <c r="X301" s="8"/>
      <c r="Y301" s="8"/>
      <c r="Z301" s="8"/>
    </row>
    <row r="302">
      <c r="A302" s="3" t="str">
        <f t="array" ref="A302">INDEX('final-RA-to-framework-summary'!$C$1:$T$1, 1, INT((ROW(A301)-1)/23)+1)</f>
        <v>F14</v>
      </c>
      <c r="B302" s="3" t="str">
        <f t="array" ref="B302">INDEX('final-RA-to-framework-summary'!$C$2:$T$2, 1, INT((ROW(B301)-1)/23)+1)</f>
        <v>MARLlib</v>
      </c>
      <c r="C302" s="3" t="str">
        <f t="array" ref="C302">INDEX('final-RA-to-framework-summary'!$B$4:$B$26, MOD(ROW(A301)-1, 23)+1)</f>
        <v>Experiment Manager</v>
      </c>
      <c r="D302" s="3" t="str">
        <f t="array" ref="D302">INDEX('final-RA-to-framework-summary'!$C$4:$Z$26, MOD(ROW(A301)-1, 23)+1, INT((ROW(A301)-1)/23)+1)</f>
        <v>implicit</v>
      </c>
      <c r="E302" s="9" t="s">
        <v>407</v>
      </c>
      <c r="F302" s="10" t="s">
        <v>408</v>
      </c>
      <c r="G302" s="10" t="s">
        <v>409</v>
      </c>
      <c r="H302" s="8"/>
      <c r="I302" s="8"/>
      <c r="J302" s="8"/>
      <c r="K302" s="8"/>
      <c r="L302" s="8"/>
      <c r="M302" s="8"/>
      <c r="N302" s="8"/>
      <c r="O302" s="8"/>
      <c r="P302" s="8"/>
      <c r="Q302" s="8"/>
      <c r="R302" s="8"/>
      <c r="S302" s="8"/>
      <c r="T302" s="8"/>
      <c r="U302" s="8"/>
      <c r="V302" s="8"/>
      <c r="W302" s="8"/>
      <c r="X302" s="8"/>
      <c r="Y302" s="8"/>
      <c r="Z302" s="8"/>
    </row>
    <row r="303">
      <c r="A303" s="3" t="str">
        <f t="array" ref="A303">INDEX('final-RA-to-framework-summary'!$C$1:$T$1, 1, INT((ROW(A302)-1)/23)+1)</f>
        <v>F14</v>
      </c>
      <c r="B303" s="3" t="str">
        <f t="array" ref="B303">INDEX('final-RA-to-framework-summary'!$C$2:$T$2, 1, INT((ROW(B302)-1)/23)+1)</f>
        <v>MARLlib</v>
      </c>
      <c r="C303" s="3" t="str">
        <f t="array" ref="C303">INDEX('final-RA-to-framework-summary'!$B$4:$B$26, MOD(ROW(A302)-1, 23)+1)</f>
        <v>Hyperparameter Tuner</v>
      </c>
      <c r="D303" s="3" t="str">
        <f t="array" ref="D303">INDEX('final-RA-to-framework-summary'!$C$4:$Z$26, MOD(ROW(A302)-1, 23)+1, INT((ROW(A302)-1)/23)+1)</f>
        <v>external</v>
      </c>
      <c r="E303" s="9" t="s">
        <v>410</v>
      </c>
      <c r="F303" s="10" t="s">
        <v>411</v>
      </c>
      <c r="G303" s="8"/>
      <c r="H303" s="10" t="s">
        <v>348</v>
      </c>
      <c r="I303" s="8"/>
      <c r="J303" s="8"/>
      <c r="K303" s="8"/>
      <c r="L303" s="8"/>
      <c r="M303" s="8"/>
      <c r="N303" s="8"/>
      <c r="O303" s="8"/>
      <c r="P303" s="8"/>
      <c r="Q303" s="8"/>
      <c r="R303" s="8"/>
      <c r="S303" s="8"/>
      <c r="T303" s="8"/>
      <c r="U303" s="8"/>
      <c r="V303" s="8"/>
      <c r="W303" s="8"/>
      <c r="X303" s="8"/>
      <c r="Y303" s="8"/>
      <c r="Z303" s="8"/>
    </row>
    <row r="304">
      <c r="A304" s="3" t="str">
        <f t="array" ref="A304">INDEX('final-RA-to-framework-summary'!$C$1:$T$1, 1, INT((ROW(A303)-1)/23)+1)</f>
        <v>F14</v>
      </c>
      <c r="B304" s="3" t="str">
        <f t="array" ref="B304">INDEX('final-RA-to-framework-summary'!$C$2:$T$2, 1, INT((ROW(B303)-1)/23)+1)</f>
        <v>MARLlib</v>
      </c>
      <c r="C304" s="3" t="str">
        <f t="array" ref="C304">INDEX('final-RA-to-framework-summary'!$B$4:$B$26, MOD(ROW(A303)-1, 23)+1)</f>
        <v>Benchmark Manager</v>
      </c>
      <c r="D304" s="3" t="str">
        <f t="array" ref="D304">INDEX('final-RA-to-framework-summary'!$C$4:$Z$26, MOD(ROW(A303)-1, 23)+1, INT((ROW(A303)-1)/23)+1)</f>
        <v>not implemented</v>
      </c>
      <c r="E304" s="8"/>
      <c r="F304" s="8"/>
      <c r="G304" s="8"/>
      <c r="H304" s="8"/>
      <c r="I304" s="8"/>
      <c r="J304" s="8"/>
      <c r="K304" s="8"/>
      <c r="L304" s="8"/>
      <c r="M304" s="8"/>
      <c r="N304" s="8"/>
      <c r="O304" s="8"/>
      <c r="P304" s="8"/>
      <c r="Q304" s="8"/>
      <c r="R304" s="8"/>
      <c r="S304" s="8"/>
      <c r="T304" s="8"/>
      <c r="U304" s="8"/>
      <c r="V304" s="8"/>
      <c r="W304" s="8"/>
      <c r="X304" s="8"/>
      <c r="Y304" s="8"/>
      <c r="Z304" s="8"/>
    </row>
    <row r="305">
      <c r="A305" s="3" t="str">
        <f t="array" ref="A305">INDEX('final-RA-to-framework-summary'!$C$1:$T$1, 1, INT((ROW(A304)-1)/23)+1)</f>
        <v>F14</v>
      </c>
      <c r="B305" s="3" t="str">
        <f t="array" ref="B305">INDEX('final-RA-to-framework-summary'!$C$2:$T$2, 1, INT((ROW(B304)-1)/23)+1)</f>
        <v>MARLlib</v>
      </c>
      <c r="C305" s="3" t="str">
        <f t="array" ref="C305">INDEX('final-RA-to-framework-summary'!$B$4:$B$26, MOD(ROW(A304)-1, 23)+1)</f>
        <v>Framework Orchestrator</v>
      </c>
      <c r="D305" s="3" t="str">
        <f t="array" ref="D305">INDEX('final-RA-to-framework-summary'!$C$4:$Z$26, MOD(ROW(A304)-1, 23)+1, INT((ROW(A304)-1)/23)+1)</f>
        <v>implicit</v>
      </c>
      <c r="E305" s="9" t="s">
        <v>412</v>
      </c>
      <c r="F305" s="10" t="s">
        <v>408</v>
      </c>
      <c r="G305" s="10" t="s">
        <v>413</v>
      </c>
      <c r="H305" s="8"/>
      <c r="I305" s="8"/>
      <c r="J305" s="8"/>
      <c r="K305" s="8"/>
      <c r="L305" s="8"/>
      <c r="M305" s="8"/>
      <c r="N305" s="8"/>
      <c r="O305" s="8"/>
      <c r="P305" s="8"/>
      <c r="Q305" s="8"/>
      <c r="R305" s="8"/>
      <c r="S305" s="8"/>
      <c r="T305" s="8"/>
      <c r="U305" s="8"/>
      <c r="V305" s="8"/>
      <c r="W305" s="8"/>
      <c r="X305" s="8"/>
      <c r="Y305" s="8"/>
      <c r="Z305" s="8"/>
    </row>
    <row r="306">
      <c r="A306" s="3" t="str">
        <f t="array" ref="A306">INDEX('final-RA-to-framework-summary'!$C$1:$T$1, 1, INT((ROW(A305)-1)/23)+1)</f>
        <v>F14</v>
      </c>
      <c r="B306" s="3" t="str">
        <f t="array" ref="B306">INDEX('final-RA-to-framework-summary'!$C$2:$T$2, 1, INT((ROW(B305)-1)/23)+1)</f>
        <v>MARLlib</v>
      </c>
      <c r="C306" s="3" t="str">
        <f t="array" ref="C306">INDEX('final-RA-to-framework-summary'!$B$4:$B$26, MOD(ROW(A305)-1, 23)+1)</f>
        <v>Lifecycle Manager</v>
      </c>
      <c r="D306" s="3" t="str">
        <f t="array" ref="D306">INDEX('final-RA-to-framework-summary'!$C$4:$Z$26, MOD(ROW(A305)-1, 23)+1, INT((ROW(A305)-1)/23)+1)</f>
        <v>external</v>
      </c>
      <c r="E306" s="9" t="s">
        <v>414</v>
      </c>
      <c r="F306" s="10" t="s">
        <v>415</v>
      </c>
      <c r="G306" s="8"/>
      <c r="H306" s="10" t="s">
        <v>31</v>
      </c>
      <c r="I306" s="8"/>
      <c r="J306" s="8"/>
      <c r="K306" s="8"/>
      <c r="L306" s="8"/>
      <c r="M306" s="8"/>
      <c r="N306" s="8"/>
      <c r="O306" s="8"/>
      <c r="P306" s="8"/>
      <c r="Q306" s="8"/>
      <c r="R306" s="8"/>
      <c r="S306" s="8"/>
      <c r="T306" s="8"/>
      <c r="U306" s="8"/>
      <c r="V306" s="8"/>
      <c r="W306" s="8"/>
      <c r="X306" s="8"/>
      <c r="Y306" s="8"/>
      <c r="Z306" s="8"/>
    </row>
    <row r="307">
      <c r="A307" s="3" t="str">
        <f t="array" ref="A307">INDEX('final-RA-to-framework-summary'!$C$1:$T$1, 1, INT((ROW(A306)-1)/23)+1)</f>
        <v>F14</v>
      </c>
      <c r="B307" s="3" t="str">
        <f t="array" ref="B307">INDEX('final-RA-to-framework-summary'!$C$2:$T$2, 1, INT((ROW(B306)-1)/23)+1)</f>
        <v>MARLlib</v>
      </c>
      <c r="C307" s="3" t="str">
        <f t="array" ref="C307">INDEX('final-RA-to-framework-summary'!$B$4:$B$26, MOD(ROW(A306)-1, 23)+1)</f>
        <v>Configuration Manager</v>
      </c>
      <c r="D307" s="3" t="str">
        <f t="array" ref="D307">INDEX('final-RA-to-framework-summary'!$C$4:$Z$26, MOD(ROW(A306)-1, 23)+1, INT((ROW(A306)-1)/23)+1)</f>
        <v>external</v>
      </c>
      <c r="E307" s="9" t="s">
        <v>416</v>
      </c>
      <c r="F307" s="10" t="s">
        <v>415</v>
      </c>
      <c r="G307" s="8"/>
      <c r="H307" s="10" t="s">
        <v>31</v>
      </c>
      <c r="I307" s="8"/>
      <c r="J307" s="8"/>
      <c r="K307" s="8"/>
      <c r="L307" s="8"/>
      <c r="M307" s="8"/>
      <c r="N307" s="8"/>
      <c r="O307" s="8"/>
      <c r="P307" s="8"/>
      <c r="Q307" s="8"/>
      <c r="R307" s="8"/>
      <c r="S307" s="8"/>
      <c r="T307" s="8"/>
      <c r="U307" s="8"/>
      <c r="V307" s="8"/>
      <c r="W307" s="8"/>
      <c r="X307" s="8"/>
      <c r="Y307" s="8"/>
      <c r="Z307" s="8"/>
    </row>
    <row r="308">
      <c r="A308" s="3" t="str">
        <f t="array" ref="A308">INDEX('final-RA-to-framework-summary'!$C$1:$T$1, 1, INT((ROW(A307)-1)/23)+1)</f>
        <v>F14</v>
      </c>
      <c r="B308" s="3" t="str">
        <f t="array" ref="B308">INDEX('final-RA-to-framework-summary'!$C$2:$T$2, 1, INT((ROW(B307)-1)/23)+1)</f>
        <v>MARLlib</v>
      </c>
      <c r="C308" s="3" t="str">
        <f t="array" ref="C308">INDEX('final-RA-to-framework-summary'!$B$4:$B$26, MOD(ROW(A307)-1, 23)+1)</f>
        <v>Multi-Agent Coordinator</v>
      </c>
      <c r="D308" s="3" t="str">
        <f t="array" ref="D308">INDEX('final-RA-to-framework-summary'!$C$4:$Z$26, MOD(ROW(A307)-1, 23)+1, INT((ROW(A307)-1)/23)+1)</f>
        <v>implicit</v>
      </c>
      <c r="E308" s="9" t="s">
        <v>417</v>
      </c>
      <c r="F308" s="10" t="s">
        <v>418</v>
      </c>
      <c r="G308" s="10" t="s">
        <v>419</v>
      </c>
      <c r="H308" s="8"/>
      <c r="I308" s="8"/>
      <c r="J308" s="8"/>
      <c r="K308" s="8"/>
      <c r="L308" s="8"/>
      <c r="M308" s="8"/>
      <c r="N308" s="8"/>
      <c r="O308" s="8"/>
      <c r="P308" s="8"/>
      <c r="Q308" s="8"/>
      <c r="R308" s="8"/>
      <c r="S308" s="8"/>
      <c r="T308" s="8"/>
      <c r="U308" s="8"/>
      <c r="V308" s="8"/>
      <c r="W308" s="8"/>
      <c r="X308" s="8"/>
      <c r="Y308" s="8"/>
      <c r="Z308" s="8"/>
    </row>
    <row r="309">
      <c r="A309" s="3" t="str">
        <f t="array" ref="A309">INDEX('final-RA-to-framework-summary'!$C$1:$T$1, 1, INT((ROW(A308)-1)/23)+1)</f>
        <v>F14</v>
      </c>
      <c r="B309" s="3" t="str">
        <f t="array" ref="B309">INDEX('final-RA-to-framework-summary'!$C$2:$T$2, 1, INT((ROW(B308)-1)/23)+1)</f>
        <v>MARLlib</v>
      </c>
      <c r="C309" s="3" t="str">
        <f t="array" ref="C309">INDEX('final-RA-to-framework-summary'!$B$4:$B$26, MOD(ROW(A308)-1, 23)+1)</f>
        <v>Distributed Execution 
Coordinator</v>
      </c>
      <c r="D309" s="3" t="str">
        <f t="array" ref="D309">INDEX('final-RA-to-framework-summary'!$C$4:$Z$26, MOD(ROW(A308)-1, 23)+1, INT((ROW(A308)-1)/23)+1)</f>
        <v>external</v>
      </c>
      <c r="E309" s="9" t="s">
        <v>420</v>
      </c>
      <c r="F309" s="10" t="s">
        <v>421</v>
      </c>
      <c r="G309" s="10" t="s">
        <v>415</v>
      </c>
      <c r="H309" s="10" t="s">
        <v>361</v>
      </c>
      <c r="I309" s="8"/>
      <c r="J309" s="8"/>
      <c r="K309" s="8"/>
      <c r="L309" s="8"/>
      <c r="M309" s="8"/>
      <c r="N309" s="8"/>
      <c r="O309" s="8"/>
      <c r="P309" s="8"/>
      <c r="Q309" s="8"/>
      <c r="R309" s="8"/>
      <c r="S309" s="8"/>
      <c r="T309" s="8"/>
      <c r="U309" s="8"/>
      <c r="V309" s="8"/>
      <c r="W309" s="8"/>
      <c r="X309" s="8"/>
      <c r="Y309" s="8"/>
      <c r="Z309" s="8"/>
    </row>
    <row r="310">
      <c r="A310" s="3" t="str">
        <f t="array" ref="A310">INDEX('final-RA-to-framework-summary'!$C$1:$T$1, 1, INT((ROW(A309)-1)/23)+1)</f>
        <v>F14</v>
      </c>
      <c r="B310" s="3" t="str">
        <f t="array" ref="B310">INDEX('final-RA-to-framework-summary'!$C$2:$T$2, 1, INT((ROW(B309)-1)/23)+1)</f>
        <v>MARLlib</v>
      </c>
      <c r="C310" s="3" t="str">
        <f t="array" ref="C310">INDEX('final-RA-to-framework-summary'!$B$4:$B$26, MOD(ROW(A309)-1, 23)+1)</f>
        <v>Agent</v>
      </c>
      <c r="D310" s="3" t="str">
        <f t="array" ref="D310">INDEX('final-RA-to-framework-summary'!$C$4:$Z$26, MOD(ROW(A309)-1, 23)+1, INT((ROW(A309)-1)/23)+1)</f>
        <v>external</v>
      </c>
      <c r="E310" s="9" t="s">
        <v>422</v>
      </c>
      <c r="F310" s="10" t="s">
        <v>415</v>
      </c>
      <c r="G310" s="8"/>
      <c r="H310" s="10" t="s">
        <v>31</v>
      </c>
      <c r="I310" s="8"/>
      <c r="J310" s="8"/>
      <c r="K310" s="8"/>
      <c r="L310" s="8"/>
      <c r="M310" s="8"/>
      <c r="N310" s="8"/>
      <c r="O310" s="8"/>
      <c r="P310" s="8"/>
      <c r="Q310" s="8"/>
      <c r="R310" s="8"/>
      <c r="S310" s="8"/>
      <c r="T310" s="8"/>
      <c r="U310" s="8"/>
      <c r="V310" s="8"/>
      <c r="W310" s="8"/>
      <c r="X310" s="8"/>
      <c r="Y310" s="8"/>
      <c r="Z310" s="8"/>
    </row>
    <row r="311">
      <c r="A311" s="3" t="str">
        <f t="array" ref="A311">INDEX('final-RA-to-framework-summary'!$C$1:$T$1, 1, INT((ROW(A310)-1)/23)+1)</f>
        <v>F14</v>
      </c>
      <c r="B311" s="3" t="str">
        <f t="array" ref="B311">INDEX('final-RA-to-framework-summary'!$C$2:$T$2, 1, INT((ROW(B310)-1)/23)+1)</f>
        <v>MARLlib</v>
      </c>
      <c r="C311" s="3" t="str">
        <f t="array" ref="C311">INDEX('final-RA-to-framework-summary'!$B$4:$B$26, MOD(ROW(A310)-1, 23)+1)</f>
        <v>Function Approximator</v>
      </c>
      <c r="D311" s="3" t="str">
        <f t="array" ref="D311">INDEX('final-RA-to-framework-summary'!$C$4:$Z$26, MOD(ROW(A310)-1, 23)+1, INT((ROW(A310)-1)/23)+1)</f>
        <v>external</v>
      </c>
      <c r="E311" s="9" t="s">
        <v>423</v>
      </c>
      <c r="F311" s="10" t="s">
        <v>415</v>
      </c>
      <c r="G311" s="8"/>
      <c r="H311" s="10" t="s">
        <v>31</v>
      </c>
      <c r="I311" s="8"/>
      <c r="J311" s="8"/>
      <c r="K311" s="8"/>
      <c r="L311" s="8"/>
      <c r="M311" s="8"/>
      <c r="N311" s="8"/>
      <c r="O311" s="8"/>
      <c r="P311" s="8"/>
      <c r="Q311" s="8"/>
      <c r="R311" s="8"/>
      <c r="S311" s="8"/>
      <c r="T311" s="8"/>
      <c r="U311" s="8"/>
      <c r="V311" s="8"/>
      <c r="W311" s="8"/>
      <c r="X311" s="8"/>
      <c r="Y311" s="8"/>
      <c r="Z311" s="8"/>
    </row>
    <row r="312">
      <c r="A312" s="3" t="str">
        <f t="array" ref="A312">INDEX('final-RA-to-framework-summary'!$C$1:$T$1, 1, INT((ROW(A311)-1)/23)+1)</f>
        <v>F14</v>
      </c>
      <c r="B312" s="3" t="str">
        <f t="array" ref="B312">INDEX('final-RA-to-framework-summary'!$C$2:$T$2, 1, INT((ROW(B311)-1)/23)+1)</f>
        <v>MARLlib</v>
      </c>
      <c r="C312" s="3" t="str">
        <f t="array" ref="C312">INDEX('final-RA-to-framework-summary'!$B$4:$B$26, MOD(ROW(A311)-1, 23)+1)</f>
        <v>Buffer</v>
      </c>
      <c r="D312" s="3" t="str">
        <f t="array" ref="D312">INDEX('final-RA-to-framework-summary'!$C$4:$Z$26, MOD(ROW(A311)-1, 23)+1, INT((ROW(A311)-1)/23)+1)</f>
        <v>external</v>
      </c>
      <c r="E312" s="9" t="s">
        <v>424</v>
      </c>
      <c r="F312" s="10" t="s">
        <v>425</v>
      </c>
      <c r="G312" s="10" t="s">
        <v>426</v>
      </c>
      <c r="H312" s="10" t="s">
        <v>31</v>
      </c>
      <c r="I312" s="8"/>
      <c r="J312" s="8"/>
      <c r="K312" s="8"/>
      <c r="L312" s="8"/>
      <c r="M312" s="8"/>
      <c r="N312" s="8"/>
      <c r="O312" s="8"/>
      <c r="P312" s="8"/>
      <c r="Q312" s="8"/>
      <c r="R312" s="8"/>
      <c r="S312" s="8"/>
      <c r="T312" s="8"/>
      <c r="U312" s="8"/>
      <c r="V312" s="8"/>
      <c r="W312" s="8"/>
      <c r="X312" s="8"/>
      <c r="Y312" s="8"/>
      <c r="Z312" s="8"/>
    </row>
    <row r="313">
      <c r="A313" s="3" t="str">
        <f t="array" ref="A313">INDEX('final-RA-to-framework-summary'!$C$1:$T$1, 1, INT((ROW(A312)-1)/23)+1)</f>
        <v>F14</v>
      </c>
      <c r="B313" s="3" t="str">
        <f t="array" ref="B313">INDEX('final-RA-to-framework-summary'!$C$2:$T$2, 1, INT((ROW(B312)-1)/23)+1)</f>
        <v>MARLlib</v>
      </c>
      <c r="C313" s="3" t="str">
        <f t="array" ref="C313">INDEX('final-RA-to-framework-summary'!$B$4:$B$26, MOD(ROW(A312)-1, 23)+1)</f>
        <v>Learner</v>
      </c>
      <c r="D313" s="3" t="str">
        <f t="array" ref="D313">INDEX('final-RA-to-framework-summary'!$C$4:$Z$26, MOD(ROW(A312)-1, 23)+1, INT((ROW(A312)-1)/23)+1)</f>
        <v>external</v>
      </c>
      <c r="E313" s="9" t="s">
        <v>427</v>
      </c>
      <c r="F313" s="10" t="s">
        <v>415</v>
      </c>
      <c r="G313" s="8"/>
      <c r="H313" s="10" t="s">
        <v>31</v>
      </c>
      <c r="I313" s="8"/>
      <c r="J313" s="8"/>
      <c r="K313" s="8"/>
      <c r="L313" s="8"/>
      <c r="M313" s="8"/>
      <c r="N313" s="8"/>
      <c r="O313" s="8"/>
      <c r="P313" s="8"/>
      <c r="Q313" s="8"/>
      <c r="R313" s="8"/>
      <c r="S313" s="8"/>
      <c r="T313" s="8"/>
      <c r="U313" s="8"/>
      <c r="V313" s="8"/>
      <c r="W313" s="8"/>
      <c r="X313" s="8"/>
      <c r="Y313" s="8"/>
      <c r="Z313" s="8"/>
    </row>
    <row r="314">
      <c r="A314" s="3" t="str">
        <f t="array" ref="A314">INDEX('final-RA-to-framework-summary'!$C$1:$T$1, 1, INT((ROW(A313)-1)/23)+1)</f>
        <v>F14</v>
      </c>
      <c r="B314" s="3" t="str">
        <f t="array" ref="B314">INDEX('final-RA-to-framework-summary'!$C$2:$T$2, 1, INT((ROW(B313)-1)/23)+1)</f>
        <v>MARLlib</v>
      </c>
      <c r="C314" s="3" t="str">
        <f t="array" ref="C314">INDEX('final-RA-to-framework-summary'!$B$4:$B$26, MOD(ROW(A313)-1, 23)+1)</f>
        <v>Environment</v>
      </c>
      <c r="D314" s="3" t="str">
        <f t="array" ref="D314">INDEX('final-RA-to-framework-summary'!$C$4:$Z$26, MOD(ROW(A313)-1, 23)+1, INT((ROW(A313)-1)/23)+1)</f>
        <v>not implemented</v>
      </c>
      <c r="E314" s="8"/>
      <c r="F314" s="8"/>
      <c r="G314" s="8"/>
      <c r="H314" s="8"/>
      <c r="I314" s="8"/>
      <c r="J314" s="8"/>
      <c r="K314" s="8"/>
      <c r="L314" s="8"/>
      <c r="M314" s="8"/>
      <c r="N314" s="8"/>
      <c r="O314" s="8"/>
      <c r="P314" s="8"/>
      <c r="Q314" s="8"/>
      <c r="R314" s="8"/>
      <c r="S314" s="8"/>
      <c r="T314" s="8"/>
      <c r="U314" s="8"/>
      <c r="V314" s="8"/>
      <c r="W314" s="8"/>
      <c r="X314" s="8"/>
      <c r="Y314" s="8"/>
      <c r="Z314" s="8"/>
    </row>
    <row r="315">
      <c r="A315" s="3" t="str">
        <f t="array" ref="A315">INDEX('final-RA-to-framework-summary'!$C$1:$T$1, 1, INT((ROW(A314)-1)/23)+1)</f>
        <v>F14</v>
      </c>
      <c r="B315" s="3" t="str">
        <f t="array" ref="B315">INDEX('final-RA-to-framework-summary'!$C$2:$T$2, 1, INT((ROW(B314)-1)/23)+1)</f>
        <v>MARLlib</v>
      </c>
      <c r="C315" s="3" t="str">
        <f t="array" ref="C315">INDEX('final-RA-to-framework-summary'!$B$4:$B$26, MOD(ROW(A314)-1, 23)+1)</f>
        <v>Environment Core</v>
      </c>
      <c r="D315" s="3" t="str">
        <f t="array" ref="D315">INDEX('final-RA-to-framework-summary'!$C$4:$Z$26, MOD(ROW(A314)-1, 23)+1, INT((ROW(A314)-1)/23)+1)</f>
        <v>not implemented</v>
      </c>
      <c r="E315" s="8"/>
      <c r="F315" s="8"/>
      <c r="G315" s="8"/>
      <c r="H315" s="8"/>
      <c r="I315" s="8"/>
      <c r="J315" s="8"/>
      <c r="K315" s="8"/>
      <c r="L315" s="8"/>
      <c r="M315" s="8"/>
      <c r="N315" s="8"/>
      <c r="O315" s="8"/>
      <c r="P315" s="8"/>
      <c r="Q315" s="8"/>
      <c r="R315" s="8"/>
      <c r="S315" s="8"/>
      <c r="T315" s="8"/>
      <c r="U315" s="8"/>
      <c r="V315" s="8"/>
      <c r="W315" s="8"/>
      <c r="X315" s="8"/>
      <c r="Y315" s="8"/>
      <c r="Z315" s="8"/>
    </row>
    <row r="316">
      <c r="A316" s="3" t="str">
        <f t="array" ref="A316">INDEX('final-RA-to-framework-summary'!$C$1:$T$1, 1, INT((ROW(A315)-1)/23)+1)</f>
        <v>F14</v>
      </c>
      <c r="B316" s="3" t="str">
        <f t="array" ref="B316">INDEX('final-RA-to-framework-summary'!$C$2:$T$2, 1, INT((ROW(B315)-1)/23)+1)</f>
        <v>MARLlib</v>
      </c>
      <c r="C316" s="3" t="str">
        <f t="array" ref="C316">INDEX('final-RA-to-framework-summary'!$B$4:$B$26, MOD(ROW(A315)-1, 23)+1)</f>
        <v>Simulator</v>
      </c>
      <c r="D316" s="3" t="str">
        <f t="array" ref="D316">INDEX('final-RA-to-framework-summary'!$C$4:$Z$26, MOD(ROW(A315)-1, 23)+1, INT((ROW(A315)-1)/23)+1)</f>
        <v>not implemented</v>
      </c>
      <c r="E316" s="8"/>
      <c r="F316" s="8"/>
      <c r="G316" s="8"/>
      <c r="H316" s="8"/>
      <c r="I316" s="8"/>
      <c r="J316" s="8"/>
      <c r="K316" s="8"/>
      <c r="L316" s="8"/>
      <c r="M316" s="8"/>
      <c r="N316" s="8"/>
      <c r="O316" s="8"/>
      <c r="P316" s="8"/>
      <c r="Q316" s="8"/>
      <c r="R316" s="8"/>
      <c r="S316" s="8"/>
      <c r="T316" s="8"/>
      <c r="U316" s="8"/>
      <c r="V316" s="8"/>
      <c r="W316" s="8"/>
      <c r="X316" s="8"/>
      <c r="Y316" s="8"/>
      <c r="Z316" s="8"/>
    </row>
    <row r="317">
      <c r="A317" s="3" t="str">
        <f t="array" ref="A317">INDEX('final-RA-to-framework-summary'!$C$1:$T$1, 1, INT((ROW(A316)-1)/23)+1)</f>
        <v>F14</v>
      </c>
      <c r="B317" s="3" t="str">
        <f t="array" ref="B317">INDEX('final-RA-to-framework-summary'!$C$2:$T$2, 1, INT((ROW(B316)-1)/23)+1)</f>
        <v>MARLlib</v>
      </c>
      <c r="C317" s="3" t="str">
        <f t="array" ref="C317">INDEX('final-RA-to-framework-summary'!$B$4:$B$26, MOD(ROW(A316)-1, 23)+1)</f>
        <v>Simulator Adapter</v>
      </c>
      <c r="D317" s="3" t="str">
        <f t="array" ref="D317">INDEX('final-RA-to-framework-summary'!$C$4:$Z$26, MOD(ROW(A316)-1, 23)+1, INT((ROW(A316)-1)/23)+1)</f>
        <v>not implemented</v>
      </c>
      <c r="E317" s="8"/>
      <c r="F317" s="8"/>
      <c r="G317" s="8"/>
      <c r="H317" s="8"/>
      <c r="I317" s="8"/>
      <c r="J317" s="8"/>
      <c r="K317" s="8"/>
      <c r="L317" s="8"/>
      <c r="M317" s="8"/>
      <c r="N317" s="8"/>
      <c r="O317" s="8"/>
      <c r="P317" s="8"/>
      <c r="Q317" s="8"/>
      <c r="R317" s="8"/>
      <c r="S317" s="8"/>
      <c r="T317" s="8"/>
      <c r="U317" s="8"/>
      <c r="V317" s="8"/>
      <c r="W317" s="8"/>
      <c r="X317" s="8"/>
      <c r="Y317" s="8"/>
      <c r="Z317" s="8"/>
    </row>
    <row r="318">
      <c r="A318" s="3" t="str">
        <f t="array" ref="A318">INDEX('final-RA-to-framework-summary'!$C$1:$T$1, 1, INT((ROW(A317)-1)/23)+1)</f>
        <v>F14</v>
      </c>
      <c r="B318" s="3" t="str">
        <f t="array" ref="B318">INDEX('final-RA-to-framework-summary'!$C$2:$T$2, 1, INT((ROW(B317)-1)/23)+1)</f>
        <v>MARLlib</v>
      </c>
      <c r="C318" s="3" t="str">
        <f t="array" ref="C318">INDEX('final-RA-to-framework-summary'!$B$4:$B$26, MOD(ROW(A317)-1, 23)+1)</f>
        <v>Checkpoint Manager</v>
      </c>
      <c r="D318" s="3" t="str">
        <f t="array" ref="D318">INDEX('final-RA-to-framework-summary'!$C$4:$Z$26, MOD(ROW(A317)-1, 23)+1, INT((ROW(A317)-1)/23)+1)</f>
        <v>external</v>
      </c>
      <c r="E318" s="9" t="s">
        <v>428</v>
      </c>
      <c r="F318" s="10" t="s">
        <v>429</v>
      </c>
      <c r="G318" s="10" t="s">
        <v>430</v>
      </c>
      <c r="H318" s="10" t="s">
        <v>348</v>
      </c>
      <c r="I318" s="8"/>
      <c r="J318" s="8"/>
      <c r="K318" s="8"/>
      <c r="L318" s="8"/>
      <c r="M318" s="8"/>
      <c r="N318" s="8"/>
      <c r="O318" s="8"/>
      <c r="P318" s="8"/>
      <c r="Q318" s="8"/>
      <c r="R318" s="8"/>
      <c r="S318" s="8"/>
      <c r="T318" s="8"/>
      <c r="U318" s="8"/>
      <c r="V318" s="8"/>
      <c r="W318" s="8"/>
      <c r="X318" s="8"/>
      <c r="Y318" s="8"/>
      <c r="Z318" s="8"/>
    </row>
    <row r="319">
      <c r="A319" s="3" t="str">
        <f t="array" ref="A319">INDEX('final-RA-to-framework-summary'!$C$1:$T$1, 1, INT((ROW(A318)-1)/23)+1)</f>
        <v>F14</v>
      </c>
      <c r="B319" s="3" t="str">
        <f t="array" ref="B319">INDEX('final-RA-to-framework-summary'!$C$2:$T$2, 1, INT((ROW(B318)-1)/23)+1)</f>
        <v>MARLlib</v>
      </c>
      <c r="C319" s="3" t="str">
        <f t="array" ref="C319">INDEX('final-RA-to-framework-summary'!$B$4:$B$26, MOD(ROW(A318)-1, 23)+1)</f>
        <v>Environment Parameter 
Manager</v>
      </c>
      <c r="D319" s="3" t="str">
        <f t="array" ref="D319">INDEX('final-RA-to-framework-summary'!$C$4:$Z$26, MOD(ROW(A318)-1, 23)+1, INT((ROW(A318)-1)/23)+1)</f>
        <v>not implemented</v>
      </c>
      <c r="E319" s="8"/>
      <c r="F319" s="8"/>
      <c r="G319" s="8"/>
      <c r="H319" s="8"/>
      <c r="I319" s="8"/>
      <c r="J319" s="8"/>
      <c r="K319" s="8"/>
      <c r="L319" s="8"/>
      <c r="M319" s="8"/>
      <c r="N319" s="8"/>
      <c r="O319" s="8"/>
      <c r="P319" s="8"/>
      <c r="Q319" s="8"/>
      <c r="R319" s="8"/>
      <c r="S319" s="8"/>
      <c r="T319" s="8"/>
      <c r="U319" s="8"/>
      <c r="V319" s="8"/>
      <c r="W319" s="8"/>
      <c r="X319" s="8"/>
      <c r="Y319" s="8"/>
      <c r="Z319" s="8"/>
    </row>
    <row r="320">
      <c r="A320" s="3" t="str">
        <f t="array" ref="A320">INDEX('final-RA-to-framework-summary'!$C$1:$T$1, 1, INT((ROW(A319)-1)/23)+1)</f>
        <v>F14</v>
      </c>
      <c r="B320" s="3" t="str">
        <f t="array" ref="B320">INDEX('final-RA-to-framework-summary'!$C$2:$T$2, 1, INT((ROW(B319)-1)/23)+1)</f>
        <v>MARLlib</v>
      </c>
      <c r="C320" s="3" t="str">
        <f t="array" ref="C320">INDEX('final-RA-to-framework-summary'!$B$4:$B$26, MOD(ROW(A319)-1, 23)+1)</f>
        <v>Renderer</v>
      </c>
      <c r="D320" s="3" t="str">
        <f t="array" ref="D320">INDEX('final-RA-to-framework-summary'!$C$4:$Z$26, MOD(ROW(A319)-1, 23)+1, INT((ROW(A319)-1)/23)+1)</f>
        <v>not implemented</v>
      </c>
      <c r="E320" s="8"/>
      <c r="F320" s="8"/>
      <c r="G320" s="8"/>
      <c r="H320" s="8"/>
      <c r="I320" s="8"/>
      <c r="J320" s="8"/>
      <c r="K320" s="8"/>
      <c r="L320" s="8"/>
      <c r="M320" s="8"/>
      <c r="N320" s="8"/>
      <c r="O320" s="8"/>
      <c r="P320" s="8"/>
      <c r="Q320" s="8"/>
      <c r="R320" s="8"/>
      <c r="S320" s="8"/>
      <c r="T320" s="8"/>
      <c r="U320" s="8"/>
      <c r="V320" s="8"/>
      <c r="W320" s="8"/>
      <c r="X320" s="8"/>
      <c r="Y320" s="8"/>
      <c r="Z320" s="8"/>
    </row>
    <row r="321">
      <c r="A321" s="3" t="str">
        <f t="array" ref="A321">INDEX('final-RA-to-framework-summary'!$C$1:$T$1, 1, INT((ROW(A320)-1)/23)+1)</f>
        <v>F14</v>
      </c>
      <c r="B321" s="3" t="str">
        <f t="array" ref="B321">INDEX('final-RA-to-framework-summary'!$C$2:$T$2, 1, INT((ROW(B320)-1)/23)+1)</f>
        <v>MARLlib</v>
      </c>
      <c r="C321" s="3" t="str">
        <f t="array" ref="C321">INDEX('final-RA-to-framework-summary'!$B$4:$B$26, MOD(ROW(A320)-1, 23)+1)</f>
        <v>Recorder</v>
      </c>
      <c r="D321" s="3" t="str">
        <f t="array" ref="D321">INDEX('final-RA-to-framework-summary'!$C$4:$Z$26, MOD(ROW(A320)-1, 23)+1, INT((ROW(A320)-1)/23)+1)</f>
        <v>not implemented</v>
      </c>
      <c r="E321" s="8"/>
      <c r="F321" s="8"/>
      <c r="G321" s="8"/>
      <c r="H321" s="8"/>
      <c r="I321" s="8"/>
      <c r="J321" s="8"/>
      <c r="K321" s="8"/>
      <c r="L321" s="8"/>
      <c r="M321" s="8"/>
      <c r="N321" s="8"/>
      <c r="O321" s="8"/>
      <c r="P321" s="8"/>
      <c r="Q321" s="8"/>
      <c r="R321" s="8"/>
      <c r="S321" s="8"/>
      <c r="T321" s="8"/>
      <c r="U321" s="8"/>
      <c r="V321" s="8"/>
      <c r="W321" s="8"/>
      <c r="X321" s="8"/>
      <c r="Y321" s="8"/>
      <c r="Z321" s="8"/>
    </row>
    <row r="322">
      <c r="A322" s="3" t="str">
        <f t="array" ref="A322">INDEX('final-RA-to-framework-summary'!$C$1:$T$1, 1, INT((ROW(A321)-1)/23)+1)</f>
        <v>F14</v>
      </c>
      <c r="B322" s="3" t="str">
        <f t="array" ref="B322">INDEX('final-RA-to-framework-summary'!$C$2:$T$2, 1, INT((ROW(B321)-1)/23)+1)</f>
        <v>MARLlib</v>
      </c>
      <c r="C322" s="3" t="str">
        <f t="array" ref="C322">INDEX('final-RA-to-framework-summary'!$B$4:$B$26, MOD(ROW(A321)-1, 23)+1)</f>
        <v>Logger</v>
      </c>
      <c r="D322" s="3" t="str">
        <f t="array" ref="D322">INDEX('final-RA-to-framework-summary'!$C$4:$Z$26, MOD(ROW(A321)-1, 23)+1, INT((ROW(A321)-1)/23)+1)</f>
        <v>external</v>
      </c>
      <c r="E322" s="9" t="s">
        <v>431</v>
      </c>
      <c r="F322" s="10" t="s">
        <v>432</v>
      </c>
      <c r="G322" s="10" t="s">
        <v>433</v>
      </c>
      <c r="H322" s="10" t="s">
        <v>348</v>
      </c>
      <c r="I322" s="8"/>
      <c r="J322" s="8"/>
      <c r="K322" s="8"/>
      <c r="L322" s="8"/>
      <c r="M322" s="8"/>
      <c r="N322" s="8"/>
      <c r="O322" s="8"/>
      <c r="P322" s="8"/>
      <c r="Q322" s="8"/>
      <c r="R322" s="8"/>
      <c r="S322" s="8"/>
      <c r="T322" s="8"/>
      <c r="U322" s="8"/>
      <c r="V322" s="8"/>
      <c r="W322" s="8"/>
      <c r="X322" s="8"/>
      <c r="Y322" s="8"/>
      <c r="Z322" s="8"/>
    </row>
    <row r="323">
      <c r="A323" s="3" t="str">
        <f t="array" ref="A323">INDEX('final-RA-to-framework-summary'!$C$1:$T$1, 1, INT((ROW(A322)-1)/23)+1)</f>
        <v>F14</v>
      </c>
      <c r="B323" s="3" t="str">
        <f t="array" ref="B323">INDEX('final-RA-to-framework-summary'!$C$2:$T$2, 1, INT((ROW(B322)-1)/23)+1)</f>
        <v>MARLlib</v>
      </c>
      <c r="C323" s="3" t="str">
        <f t="array" ref="C323">INDEX('final-RA-to-framework-summary'!$B$4:$B$26, MOD(ROW(A322)-1, 23)+1)</f>
        <v>Reporter</v>
      </c>
      <c r="D323" s="3" t="str">
        <f t="array" ref="D323">INDEX('final-RA-to-framework-summary'!$C$4:$Z$26, MOD(ROW(A322)-1, 23)+1, INT((ROW(A322)-1)/23)+1)</f>
        <v>external</v>
      </c>
      <c r="E323" s="9" t="s">
        <v>434</v>
      </c>
      <c r="F323" s="10" t="s">
        <v>435</v>
      </c>
      <c r="G323" s="10" t="s">
        <v>436</v>
      </c>
      <c r="H323" s="10" t="s">
        <v>348</v>
      </c>
      <c r="I323" s="8"/>
      <c r="J323" s="8"/>
      <c r="K323" s="8"/>
      <c r="L323" s="8"/>
      <c r="M323" s="8"/>
      <c r="N323" s="8"/>
      <c r="O323" s="8"/>
      <c r="P323" s="8"/>
      <c r="Q323" s="8"/>
      <c r="R323" s="8"/>
      <c r="S323" s="8"/>
      <c r="T323" s="8"/>
      <c r="U323" s="8"/>
      <c r="V323" s="8"/>
      <c r="W323" s="8"/>
      <c r="X323" s="8"/>
      <c r="Y323" s="8"/>
      <c r="Z323" s="8"/>
    </row>
    <row r="324">
      <c r="A324" s="3" t="str">
        <f t="array" ref="A324">INDEX('final-RA-to-framework-summary'!$C$1:$T$1, 1, INT((ROW(A323)-1)/23)+1)</f>
        <v>F15</v>
      </c>
      <c r="B324" s="3" t="str">
        <f t="array" ref="B324">INDEX('final-RA-to-framework-summary'!$C$2:$T$2, 1, INT((ROW(B323)-1)/23)+1)</f>
        <v>BenchMARL</v>
      </c>
      <c r="C324" s="3" t="str">
        <f t="array" ref="C324">INDEX('final-RA-to-framework-summary'!$B$4:$B$26, MOD(ROW(A323)-1, 23)+1)</f>
        <v>Experiment Orchestrator</v>
      </c>
      <c r="D324" s="3" t="str">
        <f t="array" ref="D324">INDEX('final-RA-to-framework-summary'!$C$4:$Z$26, MOD(ROW(A323)-1, 23)+1, INT((ROW(A323)-1)/23)+1)</f>
        <v>not implemented</v>
      </c>
      <c r="E324" s="8"/>
      <c r="F324" s="8"/>
      <c r="G324" s="8"/>
      <c r="H324" s="8"/>
      <c r="I324" s="8"/>
      <c r="J324" s="8"/>
      <c r="K324" s="8"/>
      <c r="L324" s="8"/>
      <c r="M324" s="8"/>
      <c r="N324" s="8"/>
      <c r="O324" s="8"/>
      <c r="P324" s="8"/>
      <c r="Q324" s="8"/>
      <c r="R324" s="8"/>
      <c r="S324" s="8"/>
      <c r="T324" s="8"/>
      <c r="U324" s="8"/>
      <c r="V324" s="8"/>
      <c r="W324" s="8"/>
      <c r="X324" s="8"/>
      <c r="Y324" s="8"/>
      <c r="Z324" s="8"/>
    </row>
    <row r="325">
      <c r="A325" s="3" t="str">
        <f t="array" ref="A325">INDEX('final-RA-to-framework-summary'!$C$1:$T$1, 1, INT((ROW(A324)-1)/23)+1)</f>
        <v>F15</v>
      </c>
      <c r="B325" s="3" t="str">
        <f t="array" ref="B325">INDEX('final-RA-to-framework-summary'!$C$2:$T$2, 1, INT((ROW(B324)-1)/23)+1)</f>
        <v>BenchMARL</v>
      </c>
      <c r="C325" s="3" t="str">
        <f t="array" ref="C325">INDEX('final-RA-to-framework-summary'!$B$4:$B$26, MOD(ROW(A324)-1, 23)+1)</f>
        <v>Experiment Manager</v>
      </c>
      <c r="D325" s="3" t="str">
        <f t="array" ref="D325">INDEX('final-RA-to-framework-summary'!$C$4:$Z$26, MOD(ROW(A324)-1, 23)+1, INT((ROW(A324)-1)/23)+1)</f>
        <v>implicit</v>
      </c>
      <c r="E325" s="9" t="s">
        <v>437</v>
      </c>
      <c r="F325" s="10" t="s">
        <v>438</v>
      </c>
      <c r="G325" s="10" t="s">
        <v>439</v>
      </c>
      <c r="H325" s="8"/>
      <c r="I325" s="8"/>
      <c r="J325" s="8"/>
      <c r="K325" s="8"/>
      <c r="L325" s="8"/>
      <c r="M325" s="8"/>
      <c r="N325" s="8"/>
      <c r="O325" s="8"/>
      <c r="P325" s="8"/>
      <c r="Q325" s="8"/>
      <c r="R325" s="8"/>
      <c r="S325" s="8"/>
      <c r="T325" s="8"/>
      <c r="U325" s="8"/>
      <c r="V325" s="8"/>
      <c r="W325" s="8"/>
      <c r="X325" s="8"/>
      <c r="Y325" s="8"/>
      <c r="Z325" s="8"/>
    </row>
    <row r="326">
      <c r="A326" s="3" t="str">
        <f t="array" ref="A326">INDEX('final-RA-to-framework-summary'!$C$1:$T$1, 1, INT((ROW(A325)-1)/23)+1)</f>
        <v>F15</v>
      </c>
      <c r="B326" s="3" t="str">
        <f t="array" ref="B326">INDEX('final-RA-to-framework-summary'!$C$2:$T$2, 1, INT((ROW(B325)-1)/23)+1)</f>
        <v>BenchMARL</v>
      </c>
      <c r="C326" s="3" t="str">
        <f t="array" ref="C326">INDEX('final-RA-to-framework-summary'!$B$4:$B$26, MOD(ROW(A325)-1, 23)+1)</f>
        <v>Hyperparameter Tuner</v>
      </c>
      <c r="D326" s="3" t="str">
        <f t="array" ref="D326">INDEX('final-RA-to-framework-summary'!$C$4:$Z$26, MOD(ROW(A325)-1, 23)+1, INT((ROW(A325)-1)/23)+1)</f>
        <v>not implemented</v>
      </c>
      <c r="E326" s="8"/>
      <c r="F326" s="8"/>
      <c r="G326" s="8"/>
      <c r="H326" s="8"/>
      <c r="I326" s="8"/>
      <c r="J326" s="8"/>
      <c r="K326" s="8"/>
      <c r="L326" s="8"/>
      <c r="M326" s="8"/>
      <c r="N326" s="8"/>
      <c r="O326" s="8"/>
      <c r="P326" s="8"/>
      <c r="Q326" s="8"/>
      <c r="R326" s="8"/>
      <c r="S326" s="8"/>
      <c r="T326" s="8"/>
      <c r="U326" s="8"/>
      <c r="V326" s="8"/>
      <c r="W326" s="8"/>
      <c r="X326" s="8"/>
      <c r="Y326" s="8"/>
      <c r="Z326" s="8"/>
    </row>
    <row r="327">
      <c r="A327" s="3" t="str">
        <f t="array" ref="A327">INDEX('final-RA-to-framework-summary'!$C$1:$T$1, 1, INT((ROW(A326)-1)/23)+1)</f>
        <v>F15</v>
      </c>
      <c r="B327" s="3" t="str">
        <f t="array" ref="B327">INDEX('final-RA-to-framework-summary'!$C$2:$T$2, 1, INT((ROW(B326)-1)/23)+1)</f>
        <v>BenchMARL</v>
      </c>
      <c r="C327" s="3" t="str">
        <f t="array" ref="C327">INDEX('final-RA-to-framework-summary'!$B$4:$B$26, MOD(ROW(A326)-1, 23)+1)</f>
        <v>Benchmark Manager</v>
      </c>
      <c r="D327" s="3" t="str">
        <f t="array" ref="D327">INDEX('final-RA-to-framework-summary'!$C$4:$Z$26, MOD(ROW(A326)-1, 23)+1, INT((ROW(A326)-1)/23)+1)</f>
        <v>explicit</v>
      </c>
      <c r="E327" s="9" t="s">
        <v>440</v>
      </c>
      <c r="F327" s="10" t="s">
        <v>441</v>
      </c>
      <c r="G327" s="8"/>
      <c r="H327" s="8"/>
      <c r="I327" s="8"/>
      <c r="J327" s="8"/>
      <c r="K327" s="8"/>
      <c r="L327" s="8"/>
      <c r="M327" s="8"/>
      <c r="N327" s="8"/>
      <c r="O327" s="8"/>
      <c r="P327" s="8"/>
      <c r="Q327" s="8"/>
      <c r="R327" s="8"/>
      <c r="S327" s="8"/>
      <c r="T327" s="8"/>
      <c r="U327" s="8"/>
      <c r="V327" s="8"/>
      <c r="W327" s="8"/>
      <c r="X327" s="8"/>
      <c r="Y327" s="8"/>
      <c r="Z327" s="8"/>
    </row>
    <row r="328">
      <c r="A328" s="3" t="str">
        <f t="array" ref="A328">INDEX('final-RA-to-framework-summary'!$C$1:$T$1, 1, INT((ROW(A327)-1)/23)+1)</f>
        <v>F15</v>
      </c>
      <c r="B328" s="3" t="str">
        <f t="array" ref="B328">INDEX('final-RA-to-framework-summary'!$C$2:$T$2, 1, INT((ROW(B327)-1)/23)+1)</f>
        <v>BenchMARL</v>
      </c>
      <c r="C328" s="3" t="str">
        <f t="array" ref="C328">INDEX('final-RA-to-framework-summary'!$B$4:$B$26, MOD(ROW(A327)-1, 23)+1)</f>
        <v>Framework Orchestrator</v>
      </c>
      <c r="D328" s="3" t="str">
        <f t="array" ref="D328">INDEX('final-RA-to-framework-summary'!$C$4:$Z$26, MOD(ROW(A327)-1, 23)+1, INT((ROW(A327)-1)/23)+1)</f>
        <v>implicit</v>
      </c>
      <c r="E328" s="9" t="s">
        <v>442</v>
      </c>
      <c r="F328" s="10" t="s">
        <v>443</v>
      </c>
      <c r="G328" s="10" t="s">
        <v>444</v>
      </c>
      <c r="H328" s="8"/>
      <c r="I328" s="8"/>
      <c r="J328" s="8"/>
      <c r="K328" s="8"/>
      <c r="L328" s="8"/>
      <c r="M328" s="8"/>
      <c r="N328" s="8"/>
      <c r="O328" s="8"/>
      <c r="P328" s="8"/>
      <c r="Q328" s="8"/>
      <c r="R328" s="8"/>
      <c r="S328" s="8"/>
      <c r="T328" s="8"/>
      <c r="U328" s="8"/>
      <c r="V328" s="8"/>
      <c r="W328" s="8"/>
      <c r="X328" s="8"/>
      <c r="Y328" s="8"/>
      <c r="Z328" s="8"/>
    </row>
    <row r="329">
      <c r="A329" s="3" t="str">
        <f t="array" ref="A329">INDEX('final-RA-to-framework-summary'!$C$1:$T$1, 1, INT((ROW(A328)-1)/23)+1)</f>
        <v>F15</v>
      </c>
      <c r="B329" s="3" t="str">
        <f t="array" ref="B329">INDEX('final-RA-to-framework-summary'!$C$2:$T$2, 1, INT((ROW(B328)-1)/23)+1)</f>
        <v>BenchMARL</v>
      </c>
      <c r="C329" s="3" t="str">
        <f t="array" ref="C329">INDEX('final-RA-to-framework-summary'!$B$4:$B$26, MOD(ROW(A328)-1, 23)+1)</f>
        <v>Lifecycle Manager</v>
      </c>
      <c r="D329" s="3" t="str">
        <f t="array" ref="D329">INDEX('final-RA-to-framework-summary'!$C$4:$Z$26, MOD(ROW(A328)-1, 23)+1, INT((ROW(A328)-1)/23)+1)</f>
        <v>implicit</v>
      </c>
      <c r="E329" s="9" t="s">
        <v>445</v>
      </c>
      <c r="F329" s="10" t="s">
        <v>446</v>
      </c>
      <c r="G329" s="10" t="s">
        <v>447</v>
      </c>
      <c r="H329" s="8"/>
      <c r="I329" s="8"/>
      <c r="J329" s="8"/>
      <c r="K329" s="8"/>
      <c r="L329" s="8"/>
      <c r="M329" s="8"/>
      <c r="N329" s="8"/>
      <c r="O329" s="8"/>
      <c r="P329" s="8"/>
      <c r="Q329" s="8"/>
      <c r="R329" s="8"/>
      <c r="S329" s="8"/>
      <c r="T329" s="8"/>
      <c r="U329" s="8"/>
      <c r="V329" s="8"/>
      <c r="W329" s="8"/>
      <c r="X329" s="8"/>
      <c r="Y329" s="8"/>
      <c r="Z329" s="8"/>
    </row>
    <row r="330">
      <c r="A330" s="3" t="str">
        <f t="array" ref="A330">INDEX('final-RA-to-framework-summary'!$C$1:$T$1, 1, INT((ROW(A329)-1)/23)+1)</f>
        <v>F15</v>
      </c>
      <c r="B330" s="3" t="str">
        <f t="array" ref="B330">INDEX('final-RA-to-framework-summary'!$C$2:$T$2, 1, INT((ROW(B329)-1)/23)+1)</f>
        <v>BenchMARL</v>
      </c>
      <c r="C330" s="3" t="str">
        <f t="array" ref="C330">INDEX('final-RA-to-framework-summary'!$B$4:$B$26, MOD(ROW(A329)-1, 23)+1)</f>
        <v>Configuration Manager</v>
      </c>
      <c r="D330" s="3" t="str">
        <f t="array" ref="D330">INDEX('final-RA-to-framework-summary'!$C$4:$Z$26, MOD(ROW(A329)-1, 23)+1, INT((ROW(A329)-1)/23)+1)</f>
        <v>external</v>
      </c>
      <c r="E330" s="9" t="s">
        <v>448</v>
      </c>
      <c r="F330" s="10" t="s">
        <v>449</v>
      </c>
      <c r="G330" s="10" t="s">
        <v>450</v>
      </c>
      <c r="H330" s="10" t="s">
        <v>206</v>
      </c>
      <c r="I330" s="8"/>
      <c r="J330" s="8"/>
      <c r="K330" s="8"/>
      <c r="L330" s="8"/>
      <c r="M330" s="8"/>
      <c r="N330" s="8"/>
      <c r="O330" s="8"/>
      <c r="P330" s="8"/>
      <c r="Q330" s="8"/>
      <c r="R330" s="8"/>
      <c r="S330" s="8"/>
      <c r="T330" s="8"/>
      <c r="U330" s="8"/>
      <c r="V330" s="8"/>
      <c r="W330" s="8"/>
      <c r="X330" s="8"/>
      <c r="Y330" s="8"/>
      <c r="Z330" s="8"/>
    </row>
    <row r="331">
      <c r="A331" s="3" t="str">
        <f t="array" ref="A331">INDEX('final-RA-to-framework-summary'!$C$1:$T$1, 1, INT((ROW(A330)-1)/23)+1)</f>
        <v>F15</v>
      </c>
      <c r="B331" s="3" t="str">
        <f t="array" ref="B331">INDEX('final-RA-to-framework-summary'!$C$2:$T$2, 1, INT((ROW(B330)-1)/23)+1)</f>
        <v>BenchMARL</v>
      </c>
      <c r="C331" s="3" t="str">
        <f t="array" ref="C331">INDEX('final-RA-to-framework-summary'!$B$4:$B$26, MOD(ROW(A330)-1, 23)+1)</f>
        <v>Multi-Agent Coordinator</v>
      </c>
      <c r="D331" s="3" t="str">
        <f t="array" ref="D331">INDEX('final-RA-to-framework-summary'!$C$4:$Z$26, MOD(ROW(A330)-1, 23)+1, INT((ROW(A330)-1)/23)+1)</f>
        <v>implicit</v>
      </c>
      <c r="E331" s="9" t="s">
        <v>451</v>
      </c>
      <c r="F331" s="10" t="s">
        <v>452</v>
      </c>
      <c r="G331" s="10" t="s">
        <v>453</v>
      </c>
      <c r="H331" s="8"/>
      <c r="I331" s="8"/>
      <c r="J331" s="8"/>
      <c r="K331" s="8"/>
      <c r="L331" s="8"/>
      <c r="M331" s="8"/>
      <c r="N331" s="8"/>
      <c r="O331" s="8"/>
      <c r="P331" s="8"/>
      <c r="Q331" s="8"/>
      <c r="R331" s="8"/>
      <c r="S331" s="8"/>
      <c r="T331" s="8"/>
      <c r="U331" s="8"/>
      <c r="V331" s="8"/>
      <c r="W331" s="8"/>
      <c r="X331" s="8"/>
      <c r="Y331" s="8"/>
      <c r="Z331" s="8"/>
    </row>
    <row r="332">
      <c r="A332" s="3" t="str">
        <f t="array" ref="A332">INDEX('final-RA-to-framework-summary'!$C$1:$T$1, 1, INT((ROW(A331)-1)/23)+1)</f>
        <v>F15</v>
      </c>
      <c r="B332" s="3" t="str">
        <f t="array" ref="B332">INDEX('final-RA-to-framework-summary'!$C$2:$T$2, 1, INT((ROW(B331)-1)/23)+1)</f>
        <v>BenchMARL</v>
      </c>
      <c r="C332" s="3" t="str">
        <f t="array" ref="C332">INDEX('final-RA-to-framework-summary'!$B$4:$B$26, MOD(ROW(A331)-1, 23)+1)</f>
        <v>Distributed Execution 
Coordinator</v>
      </c>
      <c r="D332" s="3" t="str">
        <f t="array" ref="D332">INDEX('final-RA-to-framework-summary'!$C$4:$Z$26, MOD(ROW(A331)-1, 23)+1, INT((ROW(A331)-1)/23)+1)</f>
        <v>not implemented</v>
      </c>
      <c r="E332" s="8"/>
      <c r="F332" s="8"/>
      <c r="G332" s="8"/>
      <c r="H332" s="8"/>
      <c r="I332" s="8"/>
      <c r="J332" s="8"/>
      <c r="K332" s="8"/>
      <c r="L332" s="8"/>
      <c r="M332" s="8"/>
      <c r="N332" s="8"/>
      <c r="O332" s="8"/>
      <c r="P332" s="8"/>
      <c r="Q332" s="8"/>
      <c r="R332" s="8"/>
      <c r="S332" s="8"/>
      <c r="T332" s="8"/>
      <c r="U332" s="8"/>
      <c r="V332" s="8"/>
      <c r="W332" s="8"/>
      <c r="X332" s="8"/>
      <c r="Y332" s="8"/>
      <c r="Z332" s="8"/>
    </row>
    <row r="333">
      <c r="A333" s="3" t="str">
        <f t="array" ref="A333">INDEX('final-RA-to-framework-summary'!$C$1:$T$1, 1, INT((ROW(A332)-1)/23)+1)</f>
        <v>F15</v>
      </c>
      <c r="B333" s="3" t="str">
        <f t="array" ref="B333">INDEX('final-RA-to-framework-summary'!$C$2:$T$2, 1, INT((ROW(B332)-1)/23)+1)</f>
        <v>BenchMARL</v>
      </c>
      <c r="C333" s="3" t="str">
        <f t="array" ref="C333">INDEX('final-RA-to-framework-summary'!$B$4:$B$26, MOD(ROW(A332)-1, 23)+1)</f>
        <v>Agent</v>
      </c>
      <c r="D333" s="3" t="str">
        <f t="array" ref="D333">INDEX('final-RA-to-framework-summary'!$C$4:$Z$26, MOD(ROW(A332)-1, 23)+1, INT((ROW(A332)-1)/23)+1)</f>
        <v>explicit</v>
      </c>
      <c r="E333" s="9" t="s">
        <v>454</v>
      </c>
      <c r="F333" s="10" t="s">
        <v>455</v>
      </c>
      <c r="G333" s="8"/>
      <c r="H333" s="8"/>
      <c r="I333" s="8"/>
      <c r="J333" s="8"/>
      <c r="K333" s="8"/>
      <c r="L333" s="8"/>
      <c r="M333" s="8"/>
      <c r="N333" s="8"/>
      <c r="O333" s="8"/>
      <c r="P333" s="8"/>
      <c r="Q333" s="8"/>
      <c r="R333" s="8"/>
      <c r="S333" s="8"/>
      <c r="T333" s="8"/>
      <c r="U333" s="8"/>
      <c r="V333" s="8"/>
      <c r="W333" s="8"/>
      <c r="X333" s="8"/>
      <c r="Y333" s="8"/>
      <c r="Z333" s="8"/>
    </row>
    <row r="334">
      <c r="A334" s="3" t="str">
        <f t="array" ref="A334">INDEX('final-RA-to-framework-summary'!$C$1:$T$1, 1, INT((ROW(A333)-1)/23)+1)</f>
        <v>F15</v>
      </c>
      <c r="B334" s="3" t="str">
        <f t="array" ref="B334">INDEX('final-RA-to-framework-summary'!$C$2:$T$2, 1, INT((ROW(B333)-1)/23)+1)</f>
        <v>BenchMARL</v>
      </c>
      <c r="C334" s="3" t="str">
        <f t="array" ref="C334">INDEX('final-RA-to-framework-summary'!$B$4:$B$26, MOD(ROW(A333)-1, 23)+1)</f>
        <v>Function Approximator</v>
      </c>
      <c r="D334" s="3" t="str">
        <f t="array" ref="D334">INDEX('final-RA-to-framework-summary'!$C$4:$Z$26, MOD(ROW(A333)-1, 23)+1, INT((ROW(A333)-1)/23)+1)</f>
        <v>explicit</v>
      </c>
      <c r="E334" s="9" t="s">
        <v>456</v>
      </c>
      <c r="F334" s="10" t="s">
        <v>457</v>
      </c>
      <c r="G334" s="8"/>
      <c r="H334" s="8"/>
      <c r="I334" s="8"/>
      <c r="J334" s="8"/>
      <c r="K334" s="8"/>
      <c r="L334" s="8"/>
      <c r="M334" s="8"/>
      <c r="N334" s="8"/>
      <c r="O334" s="8"/>
      <c r="P334" s="8"/>
      <c r="Q334" s="8"/>
      <c r="R334" s="8"/>
      <c r="S334" s="8"/>
      <c r="T334" s="8"/>
      <c r="U334" s="8"/>
      <c r="V334" s="8"/>
      <c r="W334" s="8"/>
      <c r="X334" s="8"/>
      <c r="Y334" s="8"/>
      <c r="Z334" s="8"/>
    </row>
    <row r="335">
      <c r="A335" s="3" t="str">
        <f t="array" ref="A335">INDEX('final-RA-to-framework-summary'!$C$1:$T$1, 1, INT((ROW(A334)-1)/23)+1)</f>
        <v>F15</v>
      </c>
      <c r="B335" s="3" t="str">
        <f t="array" ref="B335">INDEX('final-RA-to-framework-summary'!$C$2:$T$2, 1, INT((ROW(B334)-1)/23)+1)</f>
        <v>BenchMARL</v>
      </c>
      <c r="C335" s="3" t="str">
        <f t="array" ref="C335">INDEX('final-RA-to-framework-summary'!$B$4:$B$26, MOD(ROW(A334)-1, 23)+1)</f>
        <v>Buffer</v>
      </c>
      <c r="D335" s="3" t="str">
        <f t="array" ref="D335">INDEX('final-RA-to-framework-summary'!$C$4:$Z$26, MOD(ROW(A334)-1, 23)+1, INT((ROW(A334)-1)/23)+1)</f>
        <v>explicit</v>
      </c>
      <c r="E335" s="9" t="s">
        <v>458</v>
      </c>
      <c r="F335" s="10" t="s">
        <v>459</v>
      </c>
      <c r="G335" s="8"/>
      <c r="H335" s="8"/>
      <c r="I335" s="8"/>
      <c r="J335" s="8"/>
      <c r="K335" s="8"/>
      <c r="L335" s="8"/>
      <c r="M335" s="8"/>
      <c r="N335" s="8"/>
      <c r="O335" s="8"/>
      <c r="P335" s="8"/>
      <c r="Q335" s="8"/>
      <c r="R335" s="8"/>
      <c r="S335" s="8"/>
      <c r="T335" s="8"/>
      <c r="U335" s="8"/>
      <c r="V335" s="8"/>
      <c r="W335" s="8"/>
      <c r="X335" s="8"/>
      <c r="Y335" s="8"/>
      <c r="Z335" s="8"/>
    </row>
    <row r="336">
      <c r="A336" s="3" t="str">
        <f t="array" ref="A336">INDEX('final-RA-to-framework-summary'!$C$1:$T$1, 1, INT((ROW(A335)-1)/23)+1)</f>
        <v>F15</v>
      </c>
      <c r="B336" s="3" t="str">
        <f t="array" ref="B336">INDEX('final-RA-to-framework-summary'!$C$2:$T$2, 1, INT((ROW(B335)-1)/23)+1)</f>
        <v>BenchMARL</v>
      </c>
      <c r="C336" s="3" t="str">
        <f t="array" ref="C336">INDEX('final-RA-to-framework-summary'!$B$4:$B$26, MOD(ROW(A335)-1, 23)+1)</f>
        <v>Learner</v>
      </c>
      <c r="D336" s="3" t="str">
        <f t="array" ref="D336">INDEX('final-RA-to-framework-summary'!$C$4:$Z$26, MOD(ROW(A335)-1, 23)+1, INT((ROW(A335)-1)/23)+1)</f>
        <v>implicit</v>
      </c>
      <c r="E336" s="9" t="s">
        <v>460</v>
      </c>
      <c r="F336" s="10" t="s">
        <v>461</v>
      </c>
      <c r="G336" s="10" t="s">
        <v>462</v>
      </c>
      <c r="H336" s="8"/>
      <c r="I336" s="8"/>
      <c r="J336" s="8"/>
      <c r="K336" s="8"/>
      <c r="L336" s="8"/>
      <c r="M336" s="8"/>
      <c r="N336" s="8"/>
      <c r="O336" s="8"/>
      <c r="P336" s="8"/>
      <c r="Q336" s="8"/>
      <c r="R336" s="8"/>
      <c r="S336" s="8"/>
      <c r="T336" s="8"/>
      <c r="U336" s="8"/>
      <c r="V336" s="8"/>
      <c r="W336" s="8"/>
      <c r="X336" s="8"/>
      <c r="Y336" s="8"/>
      <c r="Z336" s="8"/>
    </row>
    <row r="337">
      <c r="A337" s="3" t="str">
        <f t="array" ref="A337">INDEX('final-RA-to-framework-summary'!$C$1:$T$1, 1, INT((ROW(A336)-1)/23)+1)</f>
        <v>F15</v>
      </c>
      <c r="B337" s="3" t="str">
        <f t="array" ref="B337">INDEX('final-RA-to-framework-summary'!$C$2:$T$2, 1, INT((ROW(B336)-1)/23)+1)</f>
        <v>BenchMARL</v>
      </c>
      <c r="C337" s="3" t="str">
        <f t="array" ref="C337">INDEX('final-RA-to-framework-summary'!$B$4:$B$26, MOD(ROW(A336)-1, 23)+1)</f>
        <v>Environment</v>
      </c>
      <c r="D337" s="3" t="str">
        <f t="array" ref="D337">INDEX('final-RA-to-framework-summary'!$C$4:$Z$26, MOD(ROW(A336)-1, 23)+1, INT((ROW(A336)-1)/23)+1)</f>
        <v>not implemented</v>
      </c>
      <c r="E337" s="8"/>
      <c r="F337" s="8"/>
      <c r="G337" s="8"/>
      <c r="H337" s="8"/>
      <c r="I337" s="8"/>
      <c r="J337" s="8"/>
      <c r="K337" s="8"/>
      <c r="L337" s="8"/>
      <c r="M337" s="8"/>
      <c r="N337" s="8"/>
      <c r="O337" s="8"/>
      <c r="P337" s="8"/>
      <c r="Q337" s="8"/>
      <c r="R337" s="8"/>
      <c r="S337" s="8"/>
      <c r="T337" s="8"/>
      <c r="U337" s="8"/>
      <c r="V337" s="8"/>
      <c r="W337" s="8"/>
      <c r="X337" s="8"/>
      <c r="Y337" s="8"/>
      <c r="Z337" s="8"/>
    </row>
    <row r="338">
      <c r="A338" s="3" t="str">
        <f t="array" ref="A338">INDEX('final-RA-to-framework-summary'!$C$1:$T$1, 1, INT((ROW(A337)-1)/23)+1)</f>
        <v>F15</v>
      </c>
      <c r="B338" s="3" t="str">
        <f t="array" ref="B338">INDEX('final-RA-to-framework-summary'!$C$2:$T$2, 1, INT((ROW(B337)-1)/23)+1)</f>
        <v>BenchMARL</v>
      </c>
      <c r="C338" s="3" t="str">
        <f t="array" ref="C338">INDEX('final-RA-to-framework-summary'!$B$4:$B$26, MOD(ROW(A337)-1, 23)+1)</f>
        <v>Environment Core</v>
      </c>
      <c r="D338" s="3" t="str">
        <f t="array" ref="D338">INDEX('final-RA-to-framework-summary'!$C$4:$Z$26, MOD(ROW(A337)-1, 23)+1, INT((ROW(A337)-1)/23)+1)</f>
        <v>not implemented</v>
      </c>
      <c r="E338" s="8"/>
      <c r="F338" s="8"/>
      <c r="G338" s="8"/>
      <c r="H338" s="8"/>
      <c r="I338" s="8"/>
      <c r="J338" s="8"/>
      <c r="K338" s="8"/>
      <c r="L338" s="8"/>
      <c r="M338" s="8"/>
      <c r="N338" s="8"/>
      <c r="O338" s="8"/>
      <c r="P338" s="8"/>
      <c r="Q338" s="8"/>
      <c r="R338" s="8"/>
      <c r="S338" s="8"/>
      <c r="T338" s="8"/>
      <c r="U338" s="8"/>
      <c r="V338" s="8"/>
      <c r="W338" s="8"/>
      <c r="X338" s="8"/>
      <c r="Y338" s="8"/>
      <c r="Z338" s="8"/>
    </row>
    <row r="339">
      <c r="A339" s="3" t="str">
        <f t="array" ref="A339">INDEX('final-RA-to-framework-summary'!$C$1:$T$1, 1, INT((ROW(A338)-1)/23)+1)</f>
        <v>F15</v>
      </c>
      <c r="B339" s="3" t="str">
        <f t="array" ref="B339">INDEX('final-RA-to-framework-summary'!$C$2:$T$2, 1, INT((ROW(B338)-1)/23)+1)</f>
        <v>BenchMARL</v>
      </c>
      <c r="C339" s="3" t="str">
        <f t="array" ref="C339">INDEX('final-RA-to-framework-summary'!$B$4:$B$26, MOD(ROW(A338)-1, 23)+1)</f>
        <v>Simulator</v>
      </c>
      <c r="D339" s="3" t="str">
        <f t="array" ref="D339">INDEX('final-RA-to-framework-summary'!$C$4:$Z$26, MOD(ROW(A338)-1, 23)+1, INT((ROW(A338)-1)/23)+1)</f>
        <v>not implemented</v>
      </c>
      <c r="E339" s="8"/>
      <c r="F339" s="8"/>
      <c r="G339" s="8"/>
      <c r="H339" s="8"/>
      <c r="I339" s="8"/>
      <c r="J339" s="8"/>
      <c r="K339" s="8"/>
      <c r="L339" s="8"/>
      <c r="M339" s="8"/>
      <c r="N339" s="8"/>
      <c r="O339" s="8"/>
      <c r="P339" s="8"/>
      <c r="Q339" s="8"/>
      <c r="R339" s="8"/>
      <c r="S339" s="8"/>
      <c r="T339" s="8"/>
      <c r="U339" s="8"/>
      <c r="V339" s="8"/>
      <c r="W339" s="8"/>
      <c r="X339" s="8"/>
      <c r="Y339" s="8"/>
      <c r="Z339" s="8"/>
    </row>
    <row r="340">
      <c r="A340" s="3" t="str">
        <f t="array" ref="A340">INDEX('final-RA-to-framework-summary'!$C$1:$T$1, 1, INT((ROW(A339)-1)/23)+1)</f>
        <v>F15</v>
      </c>
      <c r="B340" s="3" t="str">
        <f t="array" ref="B340">INDEX('final-RA-to-framework-summary'!$C$2:$T$2, 1, INT((ROW(B339)-1)/23)+1)</f>
        <v>BenchMARL</v>
      </c>
      <c r="C340" s="3" t="str">
        <f t="array" ref="C340">INDEX('final-RA-to-framework-summary'!$B$4:$B$26, MOD(ROW(A339)-1, 23)+1)</f>
        <v>Simulator Adapter</v>
      </c>
      <c r="D340" s="3" t="str">
        <f t="array" ref="D340">INDEX('final-RA-to-framework-summary'!$C$4:$Z$26, MOD(ROW(A339)-1, 23)+1, INT((ROW(A339)-1)/23)+1)</f>
        <v>not implemented</v>
      </c>
      <c r="E340" s="8"/>
      <c r="F340" s="8"/>
      <c r="G340" s="8"/>
      <c r="H340" s="8"/>
      <c r="I340" s="8"/>
      <c r="J340" s="8"/>
      <c r="K340" s="8"/>
      <c r="L340" s="8"/>
      <c r="M340" s="8"/>
      <c r="N340" s="8"/>
      <c r="O340" s="8"/>
      <c r="P340" s="8"/>
      <c r="Q340" s="8"/>
      <c r="R340" s="8"/>
      <c r="S340" s="8"/>
      <c r="T340" s="8"/>
      <c r="U340" s="8"/>
      <c r="V340" s="8"/>
      <c r="W340" s="8"/>
      <c r="X340" s="8"/>
      <c r="Y340" s="8"/>
      <c r="Z340" s="8"/>
    </row>
    <row r="341">
      <c r="A341" s="3" t="str">
        <f t="array" ref="A341">INDEX('final-RA-to-framework-summary'!$C$1:$T$1, 1, INT((ROW(A340)-1)/23)+1)</f>
        <v>F15</v>
      </c>
      <c r="B341" s="3" t="str">
        <f t="array" ref="B341">INDEX('final-RA-to-framework-summary'!$C$2:$T$2, 1, INT((ROW(B340)-1)/23)+1)</f>
        <v>BenchMARL</v>
      </c>
      <c r="C341" s="3" t="str">
        <f t="array" ref="C341">INDEX('final-RA-to-framework-summary'!$B$4:$B$26, MOD(ROW(A340)-1, 23)+1)</f>
        <v>Checkpoint Manager</v>
      </c>
      <c r="D341" s="3" t="str">
        <f t="array" ref="D341">INDEX('final-RA-to-framework-summary'!$C$4:$Z$26, MOD(ROW(A340)-1, 23)+1, INT((ROW(A340)-1)/23)+1)</f>
        <v>explicit</v>
      </c>
      <c r="E341" s="9" t="s">
        <v>463</v>
      </c>
      <c r="F341" s="10" t="s">
        <v>464</v>
      </c>
      <c r="G341" s="8"/>
      <c r="H341" s="8"/>
      <c r="I341" s="8"/>
      <c r="J341" s="8"/>
      <c r="K341" s="8"/>
      <c r="L341" s="8"/>
      <c r="M341" s="8"/>
      <c r="N341" s="8"/>
      <c r="O341" s="8"/>
      <c r="P341" s="8"/>
      <c r="Q341" s="8"/>
      <c r="R341" s="8"/>
      <c r="S341" s="8"/>
      <c r="T341" s="8"/>
      <c r="U341" s="8"/>
      <c r="V341" s="8"/>
      <c r="W341" s="8"/>
      <c r="X341" s="8"/>
      <c r="Y341" s="8"/>
      <c r="Z341" s="8"/>
    </row>
    <row r="342">
      <c r="A342" s="3" t="str">
        <f t="array" ref="A342">INDEX('final-RA-to-framework-summary'!$C$1:$T$1, 1, INT((ROW(A341)-1)/23)+1)</f>
        <v>F15</v>
      </c>
      <c r="B342" s="3" t="str">
        <f t="array" ref="B342">INDEX('final-RA-to-framework-summary'!$C$2:$T$2, 1, INT((ROW(B341)-1)/23)+1)</f>
        <v>BenchMARL</v>
      </c>
      <c r="C342" s="3" t="str">
        <f t="array" ref="C342">INDEX('final-RA-to-framework-summary'!$B$4:$B$26, MOD(ROW(A341)-1, 23)+1)</f>
        <v>Environment Parameter 
Manager</v>
      </c>
      <c r="D342" s="3" t="str">
        <f t="array" ref="D342">INDEX('final-RA-to-framework-summary'!$C$4:$Z$26, MOD(ROW(A341)-1, 23)+1, INT((ROW(A341)-1)/23)+1)</f>
        <v>not implemented</v>
      </c>
      <c r="E342" s="8"/>
      <c r="F342" s="8"/>
      <c r="G342" s="8"/>
      <c r="H342" s="8"/>
      <c r="I342" s="8"/>
      <c r="J342" s="8"/>
      <c r="K342" s="8"/>
      <c r="L342" s="8"/>
      <c r="M342" s="8"/>
      <c r="N342" s="8"/>
      <c r="O342" s="8"/>
      <c r="P342" s="8"/>
      <c r="Q342" s="8"/>
      <c r="R342" s="8"/>
      <c r="S342" s="8"/>
      <c r="T342" s="8"/>
      <c r="U342" s="8"/>
      <c r="V342" s="8"/>
      <c r="W342" s="8"/>
      <c r="X342" s="8"/>
      <c r="Y342" s="8"/>
      <c r="Z342" s="8"/>
    </row>
    <row r="343">
      <c r="A343" s="3" t="str">
        <f t="array" ref="A343">INDEX('final-RA-to-framework-summary'!$C$1:$T$1, 1, INT((ROW(A342)-1)/23)+1)</f>
        <v>F15</v>
      </c>
      <c r="B343" s="3" t="str">
        <f t="array" ref="B343">INDEX('final-RA-to-framework-summary'!$C$2:$T$2, 1, INT((ROW(B342)-1)/23)+1)</f>
        <v>BenchMARL</v>
      </c>
      <c r="C343" s="3" t="str">
        <f t="array" ref="C343">INDEX('final-RA-to-framework-summary'!$B$4:$B$26, MOD(ROW(A342)-1, 23)+1)</f>
        <v>Renderer</v>
      </c>
      <c r="D343" s="3" t="str">
        <f t="array" ref="D343">INDEX('final-RA-to-framework-summary'!$C$4:$Z$26, MOD(ROW(A342)-1, 23)+1, INT((ROW(A342)-1)/23)+1)</f>
        <v>not implemented</v>
      </c>
      <c r="E343" s="8"/>
      <c r="F343" s="8"/>
      <c r="G343" s="8"/>
      <c r="H343" s="8"/>
      <c r="I343" s="8"/>
      <c r="J343" s="8"/>
      <c r="K343" s="8"/>
      <c r="L343" s="8"/>
      <c r="M343" s="8"/>
      <c r="N343" s="8"/>
      <c r="O343" s="8"/>
      <c r="P343" s="8"/>
      <c r="Q343" s="8"/>
      <c r="R343" s="8"/>
      <c r="S343" s="8"/>
      <c r="T343" s="8"/>
      <c r="U343" s="8"/>
      <c r="V343" s="8"/>
      <c r="W343" s="8"/>
      <c r="X343" s="8"/>
      <c r="Y343" s="8"/>
      <c r="Z343" s="8"/>
    </row>
    <row r="344">
      <c r="A344" s="3" t="str">
        <f t="array" ref="A344">INDEX('final-RA-to-framework-summary'!$C$1:$T$1, 1, INT((ROW(A343)-1)/23)+1)</f>
        <v>F15</v>
      </c>
      <c r="B344" s="3" t="str">
        <f t="array" ref="B344">INDEX('final-RA-to-framework-summary'!$C$2:$T$2, 1, INT((ROW(B343)-1)/23)+1)</f>
        <v>BenchMARL</v>
      </c>
      <c r="C344" s="3" t="str">
        <f t="array" ref="C344">INDEX('final-RA-to-framework-summary'!$B$4:$B$26, MOD(ROW(A343)-1, 23)+1)</f>
        <v>Recorder</v>
      </c>
      <c r="D344" s="3" t="str">
        <f t="array" ref="D344">INDEX('final-RA-to-framework-summary'!$C$4:$Z$26, MOD(ROW(A343)-1, 23)+1, INT((ROW(A343)-1)/23)+1)</f>
        <v>implicit</v>
      </c>
      <c r="E344" s="9" t="s">
        <v>465</v>
      </c>
      <c r="F344" s="10" t="s">
        <v>466</v>
      </c>
      <c r="G344" s="10" t="s">
        <v>467</v>
      </c>
      <c r="H344" s="8"/>
      <c r="I344" s="8"/>
      <c r="J344" s="8"/>
      <c r="K344" s="8"/>
      <c r="L344" s="8"/>
      <c r="M344" s="8"/>
      <c r="N344" s="8"/>
      <c r="O344" s="8"/>
      <c r="P344" s="8"/>
      <c r="Q344" s="8"/>
      <c r="R344" s="8"/>
      <c r="S344" s="8"/>
      <c r="T344" s="8"/>
      <c r="U344" s="8"/>
      <c r="V344" s="8"/>
      <c r="W344" s="8"/>
      <c r="X344" s="8"/>
      <c r="Y344" s="8"/>
      <c r="Z344" s="8"/>
    </row>
    <row r="345">
      <c r="A345" s="3" t="str">
        <f t="array" ref="A345">INDEX('final-RA-to-framework-summary'!$C$1:$T$1, 1, INT((ROW(A344)-1)/23)+1)</f>
        <v>F15</v>
      </c>
      <c r="B345" s="3" t="str">
        <f t="array" ref="B345">INDEX('final-RA-to-framework-summary'!$C$2:$T$2, 1, INT((ROW(B344)-1)/23)+1)</f>
        <v>BenchMARL</v>
      </c>
      <c r="C345" s="3" t="str">
        <f t="array" ref="C345">INDEX('final-RA-to-framework-summary'!$B$4:$B$26, MOD(ROW(A344)-1, 23)+1)</f>
        <v>Logger</v>
      </c>
      <c r="D345" s="3" t="str">
        <f t="array" ref="D345">INDEX('final-RA-to-framework-summary'!$C$4:$Z$26, MOD(ROW(A344)-1, 23)+1, INT((ROW(A344)-1)/23)+1)</f>
        <v>external</v>
      </c>
      <c r="E345" s="9" t="s">
        <v>468</v>
      </c>
      <c r="F345" s="10" t="s">
        <v>469</v>
      </c>
      <c r="G345" s="10" t="s">
        <v>470</v>
      </c>
      <c r="H345" s="10" t="s">
        <v>471</v>
      </c>
      <c r="I345" s="8"/>
      <c r="J345" s="8"/>
      <c r="K345" s="8"/>
      <c r="L345" s="8"/>
      <c r="M345" s="8"/>
      <c r="N345" s="8"/>
      <c r="O345" s="8"/>
      <c r="P345" s="8"/>
      <c r="Q345" s="8"/>
      <c r="R345" s="8"/>
      <c r="S345" s="8"/>
      <c r="T345" s="8"/>
      <c r="U345" s="8"/>
      <c r="V345" s="8"/>
      <c r="W345" s="8"/>
      <c r="X345" s="8"/>
      <c r="Y345" s="8"/>
      <c r="Z345" s="8"/>
    </row>
    <row r="346">
      <c r="A346" s="3" t="str">
        <f t="array" ref="A346">INDEX('final-RA-to-framework-summary'!$C$1:$T$1, 1, INT((ROW(A345)-1)/23)+1)</f>
        <v>F15</v>
      </c>
      <c r="B346" s="3" t="str">
        <f t="array" ref="B346">INDEX('final-RA-to-framework-summary'!$C$2:$T$2, 1, INT((ROW(B345)-1)/23)+1)</f>
        <v>BenchMARL</v>
      </c>
      <c r="C346" s="3" t="str">
        <f t="array" ref="C346">INDEX('final-RA-to-framework-summary'!$B$4:$B$26, MOD(ROW(A345)-1, 23)+1)</f>
        <v>Reporter</v>
      </c>
      <c r="D346" s="3" t="str">
        <f t="array" ref="D346">INDEX('final-RA-to-framework-summary'!$C$4:$Z$26, MOD(ROW(A345)-1, 23)+1, INT((ROW(A345)-1)/23)+1)</f>
        <v>external</v>
      </c>
      <c r="E346" s="9" t="s">
        <v>472</v>
      </c>
      <c r="F346" s="10" t="s">
        <v>473</v>
      </c>
      <c r="G346" s="10" t="s">
        <v>474</v>
      </c>
      <c r="H346" s="10" t="s">
        <v>475</v>
      </c>
      <c r="I346" s="8"/>
      <c r="J346" s="8"/>
      <c r="K346" s="8"/>
      <c r="L346" s="8"/>
      <c r="M346" s="8"/>
      <c r="N346" s="8"/>
      <c r="O346" s="8"/>
      <c r="P346" s="8"/>
      <c r="Q346" s="8"/>
      <c r="R346" s="8"/>
      <c r="S346" s="8"/>
      <c r="T346" s="8"/>
      <c r="U346" s="8"/>
      <c r="V346" s="8"/>
      <c r="W346" s="8"/>
      <c r="X346" s="8"/>
      <c r="Y346" s="8"/>
      <c r="Z346" s="8"/>
    </row>
    <row r="347">
      <c r="A347" s="3" t="str">
        <f t="array" ref="A347">INDEX('final-RA-to-framework-summary'!$C$1:$T$1, 1, INT((ROW(A346)-1)/23)+1)</f>
        <v>F16</v>
      </c>
      <c r="B347" s="3" t="str">
        <f t="array" ref="B347">INDEX('final-RA-to-framework-summary'!$C$2:$T$2, 1, INT((ROW(B346)-1)/23)+1)</f>
        <v>Mava</v>
      </c>
      <c r="C347" s="3" t="str">
        <f t="array" ref="C347">INDEX('final-RA-to-framework-summary'!$B$4:$B$26, MOD(ROW(A346)-1, 23)+1)</f>
        <v>Experiment Orchestrator</v>
      </c>
      <c r="D347" s="3" t="str">
        <f t="array" ref="D347">INDEX('final-RA-to-framework-summary'!$C$4:$Z$26, MOD(ROW(A346)-1, 23)+1, INT((ROW(A346)-1)/23)+1)</f>
        <v>not implemented</v>
      </c>
      <c r="E347" s="8"/>
      <c r="F347" s="8"/>
      <c r="G347" s="8"/>
      <c r="H347" s="8"/>
      <c r="I347" s="8"/>
      <c r="J347" s="8"/>
      <c r="K347" s="8"/>
      <c r="L347" s="8"/>
      <c r="M347" s="8"/>
      <c r="N347" s="8"/>
      <c r="O347" s="8"/>
      <c r="P347" s="8"/>
      <c r="Q347" s="8"/>
      <c r="R347" s="8"/>
      <c r="S347" s="8"/>
      <c r="T347" s="8"/>
      <c r="U347" s="8"/>
      <c r="V347" s="8"/>
      <c r="W347" s="8"/>
      <c r="X347" s="8"/>
      <c r="Y347" s="8"/>
      <c r="Z347" s="8"/>
    </row>
    <row r="348">
      <c r="A348" s="3" t="str">
        <f t="array" ref="A348">INDEX('final-RA-to-framework-summary'!$C$1:$T$1, 1, INT((ROW(A347)-1)/23)+1)</f>
        <v>F16</v>
      </c>
      <c r="B348" s="3" t="str">
        <f t="array" ref="B348">INDEX('final-RA-to-framework-summary'!$C$2:$T$2, 1, INT((ROW(B347)-1)/23)+1)</f>
        <v>Mava</v>
      </c>
      <c r="C348" s="3" t="str">
        <f t="array" ref="C348">INDEX('final-RA-to-framework-summary'!$B$4:$B$26, MOD(ROW(A347)-1, 23)+1)</f>
        <v>Experiment Manager</v>
      </c>
      <c r="D348" s="3" t="str">
        <f t="array" ref="D348">INDEX('final-RA-to-framework-summary'!$C$4:$Z$26, MOD(ROW(A347)-1, 23)+1, INT((ROW(A347)-1)/23)+1)</f>
        <v>implicit</v>
      </c>
      <c r="E348" s="9" t="s">
        <v>476</v>
      </c>
      <c r="F348" s="10" t="s">
        <v>477</v>
      </c>
      <c r="G348" s="10" t="s">
        <v>478</v>
      </c>
      <c r="H348" s="8"/>
      <c r="I348" s="8"/>
      <c r="J348" s="8"/>
      <c r="K348" s="8"/>
      <c r="L348" s="8"/>
      <c r="M348" s="8"/>
      <c r="N348" s="8"/>
      <c r="O348" s="8"/>
      <c r="P348" s="8"/>
      <c r="Q348" s="8"/>
      <c r="R348" s="8"/>
      <c r="S348" s="8"/>
      <c r="T348" s="8"/>
      <c r="U348" s="8"/>
      <c r="V348" s="8"/>
      <c r="W348" s="8"/>
      <c r="X348" s="8"/>
      <c r="Y348" s="8"/>
      <c r="Z348" s="8"/>
    </row>
    <row r="349">
      <c r="A349" s="3" t="str">
        <f t="array" ref="A349">INDEX('final-RA-to-framework-summary'!$C$1:$T$1, 1, INT((ROW(A348)-1)/23)+1)</f>
        <v>F16</v>
      </c>
      <c r="B349" s="3" t="str">
        <f t="array" ref="B349">INDEX('final-RA-to-framework-summary'!$C$2:$T$2, 1, INT((ROW(B348)-1)/23)+1)</f>
        <v>Mava</v>
      </c>
      <c r="C349" s="3" t="str">
        <f t="array" ref="C349">INDEX('final-RA-to-framework-summary'!$B$4:$B$26, MOD(ROW(A348)-1, 23)+1)</f>
        <v>Hyperparameter Tuner</v>
      </c>
      <c r="D349" s="3" t="str">
        <f t="array" ref="D349">INDEX('final-RA-to-framework-summary'!$C$4:$Z$26, MOD(ROW(A348)-1, 23)+1, INT((ROW(A348)-1)/23)+1)</f>
        <v>not implemented</v>
      </c>
      <c r="E349" s="8"/>
      <c r="F349" s="8"/>
      <c r="G349" s="8"/>
      <c r="H349" s="8"/>
      <c r="I349" s="8"/>
      <c r="J349" s="8"/>
      <c r="K349" s="8"/>
      <c r="L349" s="8"/>
      <c r="M349" s="8"/>
      <c r="N349" s="8"/>
      <c r="O349" s="8"/>
      <c r="P349" s="8"/>
      <c r="Q349" s="8"/>
      <c r="R349" s="8"/>
      <c r="S349" s="8"/>
      <c r="T349" s="8"/>
      <c r="U349" s="8"/>
      <c r="V349" s="8"/>
      <c r="W349" s="8"/>
      <c r="X349" s="8"/>
      <c r="Y349" s="8"/>
      <c r="Z349" s="8"/>
    </row>
    <row r="350">
      <c r="A350" s="3" t="str">
        <f t="array" ref="A350">INDEX('final-RA-to-framework-summary'!$C$1:$T$1, 1, INT((ROW(A349)-1)/23)+1)</f>
        <v>F16</v>
      </c>
      <c r="B350" s="3" t="str">
        <f t="array" ref="B350">INDEX('final-RA-to-framework-summary'!$C$2:$T$2, 1, INT((ROW(B349)-1)/23)+1)</f>
        <v>Mava</v>
      </c>
      <c r="C350" s="3" t="str">
        <f t="array" ref="C350">INDEX('final-RA-to-framework-summary'!$B$4:$B$26, MOD(ROW(A349)-1, 23)+1)</f>
        <v>Benchmark Manager</v>
      </c>
      <c r="D350" s="3" t="str">
        <f t="array" ref="D350">INDEX('final-RA-to-framework-summary'!$C$4:$Z$26, MOD(ROW(A349)-1, 23)+1, INT((ROW(A349)-1)/23)+1)</f>
        <v>not implemented</v>
      </c>
      <c r="E350" s="8"/>
      <c r="F350" s="8"/>
      <c r="G350" s="8"/>
      <c r="H350" s="8"/>
      <c r="I350" s="8"/>
      <c r="J350" s="8"/>
      <c r="K350" s="8"/>
      <c r="L350" s="8"/>
      <c r="M350" s="8"/>
      <c r="N350" s="8"/>
      <c r="O350" s="8"/>
      <c r="P350" s="8"/>
      <c r="Q350" s="8"/>
      <c r="R350" s="8"/>
      <c r="S350" s="8"/>
      <c r="T350" s="8"/>
      <c r="U350" s="8"/>
      <c r="V350" s="8"/>
      <c r="W350" s="8"/>
      <c r="X350" s="8"/>
      <c r="Y350" s="8"/>
      <c r="Z350" s="8"/>
    </row>
    <row r="351">
      <c r="A351" s="3" t="str">
        <f t="array" ref="A351">INDEX('final-RA-to-framework-summary'!$C$1:$T$1, 1, INT((ROW(A350)-1)/23)+1)</f>
        <v>F16</v>
      </c>
      <c r="B351" s="3" t="str">
        <f t="array" ref="B351">INDEX('final-RA-to-framework-summary'!$C$2:$T$2, 1, INT((ROW(B350)-1)/23)+1)</f>
        <v>Mava</v>
      </c>
      <c r="C351" s="3" t="str">
        <f t="array" ref="C351">INDEX('final-RA-to-framework-summary'!$B$4:$B$26, MOD(ROW(A350)-1, 23)+1)</f>
        <v>Framework Orchestrator</v>
      </c>
      <c r="D351" s="3" t="str">
        <f t="array" ref="D351">INDEX('final-RA-to-framework-summary'!$C$4:$Z$26, MOD(ROW(A350)-1, 23)+1, INT((ROW(A350)-1)/23)+1)</f>
        <v>implicit</v>
      </c>
      <c r="E351" s="9" t="s">
        <v>479</v>
      </c>
      <c r="F351" s="10" t="s">
        <v>477</v>
      </c>
      <c r="G351" s="10" t="s">
        <v>480</v>
      </c>
      <c r="H351" s="8"/>
      <c r="I351" s="8"/>
      <c r="J351" s="8"/>
      <c r="K351" s="8"/>
      <c r="L351" s="8"/>
      <c r="M351" s="8"/>
      <c r="N351" s="8"/>
      <c r="O351" s="8"/>
      <c r="P351" s="8"/>
      <c r="Q351" s="8"/>
      <c r="R351" s="8"/>
      <c r="S351" s="8"/>
      <c r="T351" s="8"/>
      <c r="U351" s="8"/>
      <c r="V351" s="8"/>
      <c r="W351" s="8"/>
      <c r="X351" s="8"/>
      <c r="Y351" s="8"/>
      <c r="Z351" s="8"/>
    </row>
    <row r="352">
      <c r="A352" s="3" t="str">
        <f t="array" ref="A352">INDEX('final-RA-to-framework-summary'!$C$1:$T$1, 1, INT((ROW(A351)-1)/23)+1)</f>
        <v>F16</v>
      </c>
      <c r="B352" s="3" t="str">
        <f t="array" ref="B352">INDEX('final-RA-to-framework-summary'!$C$2:$T$2, 1, INT((ROW(B351)-1)/23)+1)</f>
        <v>Mava</v>
      </c>
      <c r="C352" s="3" t="str">
        <f t="array" ref="C352">INDEX('final-RA-to-framework-summary'!$B$4:$B$26, MOD(ROW(A351)-1, 23)+1)</f>
        <v>Lifecycle Manager</v>
      </c>
      <c r="D352" s="3" t="str">
        <f t="array" ref="D352">INDEX('final-RA-to-framework-summary'!$C$4:$Z$26, MOD(ROW(A351)-1, 23)+1, INT((ROW(A351)-1)/23)+1)</f>
        <v>implicit</v>
      </c>
      <c r="E352" s="9" t="s">
        <v>481</v>
      </c>
      <c r="F352" s="10" t="s">
        <v>482</v>
      </c>
      <c r="G352" s="10" t="s">
        <v>483</v>
      </c>
      <c r="H352" s="8"/>
      <c r="I352" s="8"/>
      <c r="J352" s="8"/>
      <c r="K352" s="8"/>
      <c r="L352" s="8"/>
      <c r="M352" s="8"/>
      <c r="N352" s="8"/>
      <c r="O352" s="8"/>
      <c r="P352" s="8"/>
      <c r="Q352" s="8"/>
      <c r="R352" s="8"/>
      <c r="S352" s="8"/>
      <c r="T352" s="8"/>
      <c r="U352" s="8"/>
      <c r="V352" s="8"/>
      <c r="W352" s="8"/>
      <c r="X352" s="8"/>
      <c r="Y352" s="8"/>
      <c r="Z352" s="8"/>
    </row>
    <row r="353">
      <c r="A353" s="3" t="str">
        <f t="array" ref="A353">INDEX('final-RA-to-framework-summary'!$C$1:$T$1, 1, INT((ROW(A352)-1)/23)+1)</f>
        <v>F16</v>
      </c>
      <c r="B353" s="3" t="str">
        <f t="array" ref="B353">INDEX('final-RA-to-framework-summary'!$C$2:$T$2, 1, INT((ROW(B352)-1)/23)+1)</f>
        <v>Mava</v>
      </c>
      <c r="C353" s="3" t="str">
        <f t="array" ref="C353">INDEX('final-RA-to-framework-summary'!$B$4:$B$26, MOD(ROW(A352)-1, 23)+1)</f>
        <v>Configuration Manager</v>
      </c>
      <c r="D353" s="3" t="str">
        <f t="array" ref="D353">INDEX('final-RA-to-framework-summary'!$C$4:$Z$26, MOD(ROW(A352)-1, 23)+1, INT((ROW(A352)-1)/23)+1)</f>
        <v>external</v>
      </c>
      <c r="E353" s="9" t="s">
        <v>484</v>
      </c>
      <c r="F353" s="10" t="s">
        <v>485</v>
      </c>
      <c r="G353" s="8"/>
      <c r="H353" s="10" t="s">
        <v>206</v>
      </c>
      <c r="I353" s="8"/>
      <c r="J353" s="8"/>
      <c r="K353" s="8"/>
      <c r="L353" s="8"/>
      <c r="M353" s="8"/>
      <c r="N353" s="8"/>
      <c r="O353" s="8"/>
      <c r="P353" s="8"/>
      <c r="Q353" s="8"/>
      <c r="R353" s="8"/>
      <c r="S353" s="8"/>
      <c r="T353" s="8"/>
      <c r="U353" s="8"/>
      <c r="V353" s="8"/>
      <c r="W353" s="8"/>
      <c r="X353" s="8"/>
      <c r="Y353" s="8"/>
      <c r="Z353" s="8"/>
    </row>
    <row r="354">
      <c r="A354" s="3" t="str">
        <f t="array" ref="A354">INDEX('final-RA-to-framework-summary'!$C$1:$T$1, 1, INT((ROW(A353)-1)/23)+1)</f>
        <v>F16</v>
      </c>
      <c r="B354" s="3" t="str">
        <f t="array" ref="B354">INDEX('final-RA-to-framework-summary'!$C$2:$T$2, 1, INT((ROW(B353)-1)/23)+1)</f>
        <v>Mava</v>
      </c>
      <c r="C354" s="3" t="str">
        <f t="array" ref="C354">INDEX('final-RA-to-framework-summary'!$B$4:$B$26, MOD(ROW(A353)-1, 23)+1)</f>
        <v>Multi-Agent Coordinator</v>
      </c>
      <c r="D354" s="3" t="str">
        <f t="array" ref="D354">INDEX('final-RA-to-framework-summary'!$C$4:$Z$26, MOD(ROW(A353)-1, 23)+1, INT((ROW(A353)-1)/23)+1)</f>
        <v>not implemented</v>
      </c>
      <c r="E354" s="8"/>
      <c r="F354" s="8"/>
      <c r="G354" s="8"/>
      <c r="H354" s="8"/>
      <c r="I354" s="8"/>
      <c r="J354" s="8"/>
      <c r="K354" s="8"/>
      <c r="L354" s="8"/>
      <c r="M354" s="8"/>
      <c r="N354" s="8"/>
      <c r="O354" s="8"/>
      <c r="P354" s="8"/>
      <c r="Q354" s="8"/>
      <c r="R354" s="8"/>
      <c r="S354" s="8"/>
      <c r="T354" s="8"/>
      <c r="U354" s="8"/>
      <c r="V354" s="8"/>
      <c r="W354" s="8"/>
      <c r="X354" s="8"/>
      <c r="Y354" s="8"/>
      <c r="Z354" s="8"/>
    </row>
    <row r="355">
      <c r="A355" s="3" t="str">
        <f t="array" ref="A355">INDEX('final-RA-to-framework-summary'!$C$1:$T$1, 1, INT((ROW(A354)-1)/23)+1)</f>
        <v>F16</v>
      </c>
      <c r="B355" s="3" t="str">
        <f t="array" ref="B355">INDEX('final-RA-to-framework-summary'!$C$2:$T$2, 1, INT((ROW(B354)-1)/23)+1)</f>
        <v>Mava</v>
      </c>
      <c r="C355" s="3" t="str">
        <f t="array" ref="C355">INDEX('final-RA-to-framework-summary'!$B$4:$B$26, MOD(ROW(A354)-1, 23)+1)</f>
        <v>Distributed Execution 
Coordinator</v>
      </c>
      <c r="D355" s="3" t="str">
        <f t="array" ref="D355">INDEX('final-RA-to-framework-summary'!$C$4:$Z$26, MOD(ROW(A354)-1, 23)+1, INT((ROW(A354)-1)/23)+1)</f>
        <v>implicit</v>
      </c>
      <c r="E355" s="9" t="s">
        <v>486</v>
      </c>
      <c r="F355" s="10" t="s">
        <v>487</v>
      </c>
      <c r="G355" s="10" t="s">
        <v>488</v>
      </c>
      <c r="H355" s="8"/>
      <c r="I355" s="8"/>
      <c r="J355" s="8"/>
      <c r="K355" s="8"/>
      <c r="L355" s="8"/>
      <c r="M355" s="8"/>
      <c r="N355" s="8"/>
      <c r="O355" s="8"/>
      <c r="P355" s="8"/>
      <c r="Q355" s="8"/>
      <c r="R355" s="8"/>
      <c r="S355" s="8"/>
      <c r="T355" s="8"/>
      <c r="U355" s="8"/>
      <c r="V355" s="8"/>
      <c r="W355" s="8"/>
      <c r="X355" s="8"/>
      <c r="Y355" s="8"/>
      <c r="Z355" s="8"/>
    </row>
    <row r="356">
      <c r="A356" s="3" t="str">
        <f t="array" ref="A356">INDEX('final-RA-to-framework-summary'!$C$1:$T$1, 1, INT((ROW(A355)-1)/23)+1)</f>
        <v>F16</v>
      </c>
      <c r="B356" s="3" t="str">
        <f t="array" ref="B356">INDEX('final-RA-to-framework-summary'!$C$2:$T$2, 1, INT((ROW(B355)-1)/23)+1)</f>
        <v>Mava</v>
      </c>
      <c r="C356" s="3" t="str">
        <f t="array" ref="C356">INDEX('final-RA-to-framework-summary'!$B$4:$B$26, MOD(ROW(A355)-1, 23)+1)</f>
        <v>Agent</v>
      </c>
      <c r="D356" s="3" t="str">
        <f t="array" ref="D356">INDEX('final-RA-to-framework-summary'!$C$4:$Z$26, MOD(ROW(A355)-1, 23)+1, INT((ROW(A355)-1)/23)+1)</f>
        <v>explicit</v>
      </c>
      <c r="E356" s="14" t="s">
        <v>489</v>
      </c>
      <c r="F356" s="10" t="s">
        <v>490</v>
      </c>
      <c r="G356" s="8"/>
      <c r="H356" s="8"/>
      <c r="I356" s="8"/>
      <c r="J356" s="8"/>
      <c r="K356" s="8"/>
      <c r="L356" s="8"/>
      <c r="M356" s="8"/>
      <c r="N356" s="8"/>
      <c r="O356" s="8"/>
      <c r="P356" s="8"/>
      <c r="Q356" s="8"/>
      <c r="R356" s="8"/>
      <c r="S356" s="8"/>
      <c r="T356" s="8"/>
      <c r="U356" s="8"/>
      <c r="V356" s="8"/>
      <c r="W356" s="8"/>
      <c r="X356" s="8"/>
      <c r="Y356" s="8"/>
      <c r="Z356" s="8"/>
    </row>
    <row r="357">
      <c r="A357" s="3" t="str">
        <f t="array" ref="A357">INDEX('final-RA-to-framework-summary'!$C$1:$T$1, 1, INT((ROW(A356)-1)/23)+1)</f>
        <v>F16</v>
      </c>
      <c r="B357" s="3" t="str">
        <f t="array" ref="B357">INDEX('final-RA-to-framework-summary'!$C$2:$T$2, 1, INT((ROW(B356)-1)/23)+1)</f>
        <v>Mava</v>
      </c>
      <c r="C357" s="3" t="str">
        <f t="array" ref="C357">INDEX('final-RA-to-framework-summary'!$B$4:$B$26, MOD(ROW(A356)-1, 23)+1)</f>
        <v>Function Approximator</v>
      </c>
      <c r="D357" s="3" t="str">
        <f t="array" ref="D357">INDEX('final-RA-to-framework-summary'!$C$4:$Z$26, MOD(ROW(A356)-1, 23)+1, INT((ROW(A356)-1)/23)+1)</f>
        <v>implicit</v>
      </c>
      <c r="E357" s="9" t="s">
        <v>491</v>
      </c>
      <c r="F357" s="10" t="s">
        <v>492</v>
      </c>
      <c r="G357" s="10" t="s">
        <v>493</v>
      </c>
      <c r="H357" s="8"/>
      <c r="I357" s="8"/>
      <c r="J357" s="8"/>
      <c r="K357" s="8"/>
      <c r="L357" s="8"/>
      <c r="M357" s="8"/>
      <c r="N357" s="8"/>
      <c r="O357" s="8"/>
      <c r="P357" s="8"/>
      <c r="Q357" s="8"/>
      <c r="R357" s="8"/>
      <c r="S357" s="8"/>
      <c r="T357" s="8"/>
      <c r="U357" s="8"/>
      <c r="V357" s="8"/>
      <c r="W357" s="8"/>
      <c r="X357" s="8"/>
      <c r="Y357" s="8"/>
      <c r="Z357" s="8"/>
    </row>
    <row r="358">
      <c r="A358" s="3" t="str">
        <f t="array" ref="A358">INDEX('final-RA-to-framework-summary'!$C$1:$T$1, 1, INT((ROW(A357)-1)/23)+1)</f>
        <v>F16</v>
      </c>
      <c r="B358" s="3" t="str">
        <f t="array" ref="B358">INDEX('final-RA-to-framework-summary'!$C$2:$T$2, 1, INT((ROW(B357)-1)/23)+1)</f>
        <v>Mava</v>
      </c>
      <c r="C358" s="3" t="str">
        <f t="array" ref="C358">INDEX('final-RA-to-framework-summary'!$B$4:$B$26, MOD(ROW(A357)-1, 23)+1)</f>
        <v>Buffer</v>
      </c>
      <c r="D358" s="3" t="str">
        <f t="array" ref="D358">INDEX('final-RA-to-framework-summary'!$C$4:$Z$26, MOD(ROW(A357)-1, 23)+1, INT((ROW(A357)-1)/23)+1)</f>
        <v>external</v>
      </c>
      <c r="E358" s="14" t="s">
        <v>494</v>
      </c>
      <c r="F358" s="10" t="s">
        <v>495</v>
      </c>
      <c r="G358" s="8"/>
      <c r="H358" s="10" t="s">
        <v>496</v>
      </c>
      <c r="I358" s="8"/>
      <c r="J358" s="8"/>
      <c r="K358" s="8"/>
      <c r="L358" s="8"/>
      <c r="M358" s="8"/>
      <c r="N358" s="8"/>
      <c r="O358" s="8"/>
      <c r="P358" s="8"/>
      <c r="Q358" s="8"/>
      <c r="R358" s="8"/>
      <c r="S358" s="8"/>
      <c r="T358" s="8"/>
      <c r="U358" s="8"/>
      <c r="V358" s="8"/>
      <c r="W358" s="8"/>
      <c r="X358" s="8"/>
      <c r="Y358" s="8"/>
      <c r="Z358" s="8"/>
    </row>
    <row r="359">
      <c r="A359" s="3" t="str">
        <f t="array" ref="A359">INDEX('final-RA-to-framework-summary'!$C$1:$T$1, 1, INT((ROW(A358)-1)/23)+1)</f>
        <v>F16</v>
      </c>
      <c r="B359" s="3" t="str">
        <f t="array" ref="B359">INDEX('final-RA-to-framework-summary'!$C$2:$T$2, 1, INT((ROW(B358)-1)/23)+1)</f>
        <v>Mava</v>
      </c>
      <c r="C359" s="3" t="str">
        <f t="array" ref="C359">INDEX('final-RA-to-framework-summary'!$B$4:$B$26, MOD(ROW(A358)-1, 23)+1)</f>
        <v>Learner</v>
      </c>
      <c r="D359" s="3" t="str">
        <f t="array" ref="D359">INDEX('final-RA-to-framework-summary'!$C$4:$Z$26, MOD(ROW(A358)-1, 23)+1, INT((ROW(A358)-1)/23)+1)</f>
        <v>implicit</v>
      </c>
      <c r="E359" s="14" t="s">
        <v>497</v>
      </c>
      <c r="F359" s="10" t="s">
        <v>498</v>
      </c>
      <c r="G359" s="10" t="s">
        <v>499</v>
      </c>
      <c r="H359" s="8"/>
      <c r="I359" s="8"/>
      <c r="J359" s="8"/>
      <c r="K359" s="8"/>
      <c r="L359" s="8"/>
      <c r="M359" s="8"/>
      <c r="N359" s="8"/>
      <c r="O359" s="8"/>
      <c r="P359" s="8"/>
      <c r="Q359" s="8"/>
      <c r="R359" s="8"/>
      <c r="S359" s="8"/>
      <c r="T359" s="8"/>
      <c r="U359" s="8"/>
      <c r="V359" s="8"/>
      <c r="W359" s="8"/>
      <c r="X359" s="8"/>
      <c r="Y359" s="8"/>
      <c r="Z359" s="8"/>
    </row>
    <row r="360">
      <c r="A360" s="3" t="str">
        <f t="array" ref="A360">INDEX('final-RA-to-framework-summary'!$C$1:$T$1, 1, INT((ROW(A359)-1)/23)+1)</f>
        <v>F16</v>
      </c>
      <c r="B360" s="3" t="str">
        <f t="array" ref="B360">INDEX('final-RA-to-framework-summary'!$C$2:$T$2, 1, INT((ROW(B359)-1)/23)+1)</f>
        <v>Mava</v>
      </c>
      <c r="C360" s="3" t="str">
        <f t="array" ref="C360">INDEX('final-RA-to-framework-summary'!$B$4:$B$26, MOD(ROW(A359)-1, 23)+1)</f>
        <v>Environment</v>
      </c>
      <c r="D360" s="3" t="str">
        <f t="array" ref="D360">INDEX('final-RA-to-framework-summary'!$C$4:$Z$26, MOD(ROW(A359)-1, 23)+1, INT((ROW(A359)-1)/23)+1)</f>
        <v>not implemented</v>
      </c>
      <c r="E360" s="8"/>
      <c r="F360" s="8"/>
      <c r="G360" s="8"/>
      <c r="H360" s="8"/>
      <c r="I360" s="8"/>
      <c r="J360" s="8"/>
      <c r="K360" s="8"/>
      <c r="L360" s="8"/>
      <c r="M360" s="8"/>
      <c r="N360" s="8"/>
      <c r="O360" s="8"/>
      <c r="P360" s="8"/>
      <c r="Q360" s="8"/>
      <c r="R360" s="8"/>
      <c r="S360" s="8"/>
      <c r="T360" s="8"/>
      <c r="U360" s="8"/>
      <c r="V360" s="8"/>
      <c r="W360" s="8"/>
      <c r="X360" s="8"/>
      <c r="Y360" s="8"/>
      <c r="Z360" s="8"/>
    </row>
    <row r="361">
      <c r="A361" s="3" t="str">
        <f t="array" ref="A361">INDEX('final-RA-to-framework-summary'!$C$1:$T$1, 1, INT((ROW(A360)-1)/23)+1)</f>
        <v>F16</v>
      </c>
      <c r="B361" s="3" t="str">
        <f t="array" ref="B361">INDEX('final-RA-to-framework-summary'!$C$2:$T$2, 1, INT((ROW(B360)-1)/23)+1)</f>
        <v>Mava</v>
      </c>
      <c r="C361" s="3" t="str">
        <f t="array" ref="C361">INDEX('final-RA-to-framework-summary'!$B$4:$B$26, MOD(ROW(A360)-1, 23)+1)</f>
        <v>Environment Core</v>
      </c>
      <c r="D361" s="3" t="str">
        <f t="array" ref="D361">INDEX('final-RA-to-framework-summary'!$C$4:$Z$26, MOD(ROW(A360)-1, 23)+1, INT((ROW(A360)-1)/23)+1)</f>
        <v>not implemented</v>
      </c>
      <c r="E361" s="8"/>
      <c r="F361" s="8"/>
      <c r="G361" s="8"/>
      <c r="H361" s="8"/>
      <c r="I361" s="8"/>
      <c r="J361" s="8"/>
      <c r="K361" s="8"/>
      <c r="L361" s="8"/>
      <c r="M361" s="8"/>
      <c r="N361" s="8"/>
      <c r="O361" s="8"/>
      <c r="P361" s="8"/>
      <c r="Q361" s="8"/>
      <c r="R361" s="8"/>
      <c r="S361" s="8"/>
      <c r="T361" s="8"/>
      <c r="U361" s="8"/>
      <c r="V361" s="8"/>
      <c r="W361" s="8"/>
      <c r="X361" s="8"/>
      <c r="Y361" s="8"/>
      <c r="Z361" s="8"/>
    </row>
    <row r="362">
      <c r="A362" s="3" t="str">
        <f t="array" ref="A362">INDEX('final-RA-to-framework-summary'!$C$1:$T$1, 1, INT((ROW(A361)-1)/23)+1)</f>
        <v>F16</v>
      </c>
      <c r="B362" s="3" t="str">
        <f t="array" ref="B362">INDEX('final-RA-to-framework-summary'!$C$2:$T$2, 1, INT((ROW(B361)-1)/23)+1)</f>
        <v>Mava</v>
      </c>
      <c r="C362" s="3" t="str">
        <f t="array" ref="C362">INDEX('final-RA-to-framework-summary'!$B$4:$B$26, MOD(ROW(A361)-1, 23)+1)</f>
        <v>Simulator</v>
      </c>
      <c r="D362" s="3" t="str">
        <f t="array" ref="D362">INDEX('final-RA-to-framework-summary'!$C$4:$Z$26, MOD(ROW(A361)-1, 23)+1, INT((ROW(A361)-1)/23)+1)</f>
        <v>not implemented</v>
      </c>
      <c r="E362" s="8"/>
      <c r="F362" s="8"/>
      <c r="G362" s="8"/>
      <c r="H362" s="8"/>
      <c r="I362" s="8"/>
      <c r="J362" s="8"/>
      <c r="K362" s="8"/>
      <c r="L362" s="8"/>
      <c r="M362" s="8"/>
      <c r="N362" s="8"/>
      <c r="O362" s="8"/>
      <c r="P362" s="8"/>
      <c r="Q362" s="8"/>
      <c r="R362" s="8"/>
      <c r="S362" s="8"/>
      <c r="T362" s="8"/>
      <c r="U362" s="8"/>
      <c r="V362" s="8"/>
      <c r="W362" s="8"/>
      <c r="X362" s="8"/>
      <c r="Y362" s="8"/>
      <c r="Z362" s="8"/>
    </row>
    <row r="363">
      <c r="A363" s="3" t="str">
        <f t="array" ref="A363">INDEX('final-RA-to-framework-summary'!$C$1:$T$1, 1, INT((ROW(A362)-1)/23)+1)</f>
        <v>F16</v>
      </c>
      <c r="B363" s="3" t="str">
        <f t="array" ref="B363">INDEX('final-RA-to-framework-summary'!$C$2:$T$2, 1, INT((ROW(B362)-1)/23)+1)</f>
        <v>Mava</v>
      </c>
      <c r="C363" s="3" t="str">
        <f t="array" ref="C363">INDEX('final-RA-to-framework-summary'!$B$4:$B$26, MOD(ROW(A362)-1, 23)+1)</f>
        <v>Simulator Adapter</v>
      </c>
      <c r="D363" s="3" t="str">
        <f t="array" ref="D363">INDEX('final-RA-to-framework-summary'!$C$4:$Z$26, MOD(ROW(A362)-1, 23)+1, INT((ROW(A362)-1)/23)+1)</f>
        <v>not implemented</v>
      </c>
      <c r="E363" s="8"/>
      <c r="F363" s="8"/>
      <c r="G363" s="8"/>
      <c r="H363" s="8"/>
      <c r="I363" s="8"/>
      <c r="J363" s="8"/>
      <c r="K363" s="8"/>
      <c r="L363" s="8"/>
      <c r="M363" s="8"/>
      <c r="N363" s="8"/>
      <c r="O363" s="8"/>
      <c r="P363" s="8"/>
      <c r="Q363" s="8"/>
      <c r="R363" s="8"/>
      <c r="S363" s="8"/>
      <c r="T363" s="8"/>
      <c r="U363" s="8"/>
      <c r="V363" s="8"/>
      <c r="W363" s="8"/>
      <c r="X363" s="8"/>
      <c r="Y363" s="8"/>
      <c r="Z363" s="8"/>
    </row>
    <row r="364">
      <c r="A364" s="3" t="str">
        <f t="array" ref="A364">INDEX('final-RA-to-framework-summary'!$C$1:$T$1, 1, INT((ROW(A363)-1)/23)+1)</f>
        <v>F16</v>
      </c>
      <c r="B364" s="3" t="str">
        <f t="array" ref="B364">INDEX('final-RA-to-framework-summary'!$C$2:$T$2, 1, INT((ROW(B363)-1)/23)+1)</f>
        <v>Mava</v>
      </c>
      <c r="C364" s="3" t="str">
        <f t="array" ref="C364">INDEX('final-RA-to-framework-summary'!$B$4:$B$26, MOD(ROW(A363)-1, 23)+1)</f>
        <v>Checkpoint Manager</v>
      </c>
      <c r="D364" s="3" t="str">
        <f t="array" ref="D364">INDEX('final-RA-to-framework-summary'!$C$4:$Z$26, MOD(ROW(A363)-1, 23)+1, INT((ROW(A363)-1)/23)+1)</f>
        <v>external</v>
      </c>
      <c r="E364" s="9" t="s">
        <v>500</v>
      </c>
      <c r="F364" s="10" t="s">
        <v>501</v>
      </c>
      <c r="G364" s="8"/>
      <c r="H364" s="10" t="s">
        <v>502</v>
      </c>
      <c r="I364" s="8"/>
      <c r="J364" s="8"/>
      <c r="K364" s="8"/>
      <c r="L364" s="8"/>
      <c r="M364" s="8"/>
      <c r="N364" s="8"/>
      <c r="O364" s="8"/>
      <c r="P364" s="8"/>
      <c r="Q364" s="8"/>
      <c r="R364" s="8"/>
      <c r="S364" s="8"/>
      <c r="T364" s="8"/>
      <c r="U364" s="8"/>
      <c r="V364" s="8"/>
      <c r="W364" s="8"/>
      <c r="X364" s="8"/>
      <c r="Y364" s="8"/>
      <c r="Z364" s="8"/>
    </row>
    <row r="365">
      <c r="A365" s="3" t="str">
        <f t="array" ref="A365">INDEX('final-RA-to-framework-summary'!$C$1:$T$1, 1, INT((ROW(A364)-1)/23)+1)</f>
        <v>F16</v>
      </c>
      <c r="B365" s="3" t="str">
        <f t="array" ref="B365">INDEX('final-RA-to-framework-summary'!$C$2:$T$2, 1, INT((ROW(B364)-1)/23)+1)</f>
        <v>Mava</v>
      </c>
      <c r="C365" s="3" t="str">
        <f t="array" ref="C365">INDEX('final-RA-to-framework-summary'!$B$4:$B$26, MOD(ROW(A364)-1, 23)+1)</f>
        <v>Environment Parameter 
Manager</v>
      </c>
      <c r="D365" s="3" t="str">
        <f t="array" ref="D365">INDEX('final-RA-to-framework-summary'!$C$4:$Z$26, MOD(ROW(A364)-1, 23)+1, INT((ROW(A364)-1)/23)+1)</f>
        <v>not implemented</v>
      </c>
      <c r="E365" s="8"/>
      <c r="F365" s="8"/>
      <c r="G365" s="8"/>
      <c r="H365" s="8"/>
      <c r="I365" s="8"/>
      <c r="J365" s="8"/>
      <c r="K365" s="8"/>
      <c r="L365" s="8"/>
      <c r="M365" s="8"/>
      <c r="N365" s="8"/>
      <c r="O365" s="8"/>
      <c r="P365" s="8"/>
      <c r="Q365" s="8"/>
      <c r="R365" s="8"/>
      <c r="S365" s="8"/>
      <c r="T365" s="8"/>
      <c r="U365" s="8"/>
      <c r="V365" s="8"/>
      <c r="W365" s="8"/>
      <c r="X365" s="8"/>
      <c r="Y365" s="8"/>
      <c r="Z365" s="8"/>
    </row>
    <row r="366">
      <c r="A366" s="3" t="str">
        <f t="array" ref="A366">INDEX('final-RA-to-framework-summary'!$C$1:$T$1, 1, INT((ROW(A365)-1)/23)+1)</f>
        <v>F16</v>
      </c>
      <c r="B366" s="3" t="str">
        <f t="array" ref="B366">INDEX('final-RA-to-framework-summary'!$C$2:$T$2, 1, INT((ROW(B365)-1)/23)+1)</f>
        <v>Mava</v>
      </c>
      <c r="C366" s="3" t="str">
        <f t="array" ref="C366">INDEX('final-RA-to-framework-summary'!$B$4:$B$26, MOD(ROW(A365)-1, 23)+1)</f>
        <v>Renderer</v>
      </c>
      <c r="D366" s="3" t="str">
        <f t="array" ref="D366">INDEX('final-RA-to-framework-summary'!$C$4:$Z$26, MOD(ROW(A365)-1, 23)+1, INT((ROW(A365)-1)/23)+1)</f>
        <v>not implemented</v>
      </c>
      <c r="E366" s="8"/>
      <c r="F366" s="8"/>
      <c r="G366" s="8"/>
      <c r="H366" s="8"/>
      <c r="I366" s="8"/>
      <c r="J366" s="8"/>
      <c r="K366" s="8"/>
      <c r="L366" s="8"/>
      <c r="M366" s="8"/>
      <c r="N366" s="8"/>
      <c r="O366" s="8"/>
      <c r="P366" s="8"/>
      <c r="Q366" s="8"/>
      <c r="R366" s="8"/>
      <c r="S366" s="8"/>
      <c r="T366" s="8"/>
      <c r="U366" s="8"/>
      <c r="V366" s="8"/>
      <c r="W366" s="8"/>
      <c r="X366" s="8"/>
      <c r="Y366" s="8"/>
      <c r="Z366" s="8"/>
    </row>
    <row r="367">
      <c r="A367" s="3" t="str">
        <f t="array" ref="A367">INDEX('final-RA-to-framework-summary'!$C$1:$T$1, 1, INT((ROW(A366)-1)/23)+1)</f>
        <v>F16</v>
      </c>
      <c r="B367" s="3" t="str">
        <f t="array" ref="B367">INDEX('final-RA-to-framework-summary'!$C$2:$T$2, 1, INT((ROW(B366)-1)/23)+1)</f>
        <v>Mava</v>
      </c>
      <c r="C367" s="3" t="str">
        <f t="array" ref="C367">INDEX('final-RA-to-framework-summary'!$B$4:$B$26, MOD(ROW(A366)-1, 23)+1)</f>
        <v>Recorder</v>
      </c>
      <c r="D367" s="3" t="str">
        <f t="array" ref="D367">INDEX('final-RA-to-framework-summary'!$C$4:$Z$26, MOD(ROW(A366)-1, 23)+1, INT((ROW(A366)-1)/23)+1)</f>
        <v>not implemented</v>
      </c>
      <c r="E367" s="8"/>
      <c r="F367" s="8"/>
      <c r="G367" s="8"/>
      <c r="H367" s="8"/>
      <c r="I367" s="8"/>
      <c r="J367" s="8"/>
      <c r="K367" s="8"/>
      <c r="L367" s="8"/>
      <c r="M367" s="8"/>
      <c r="N367" s="8"/>
      <c r="O367" s="8"/>
      <c r="P367" s="8"/>
      <c r="Q367" s="8"/>
      <c r="R367" s="8"/>
      <c r="S367" s="8"/>
      <c r="T367" s="8"/>
      <c r="U367" s="8"/>
      <c r="V367" s="8"/>
      <c r="W367" s="8"/>
      <c r="X367" s="8"/>
      <c r="Y367" s="8"/>
      <c r="Z367" s="8"/>
    </row>
    <row r="368">
      <c r="A368" s="3" t="str">
        <f t="array" ref="A368">INDEX('final-RA-to-framework-summary'!$C$1:$T$1, 1, INT((ROW(A367)-1)/23)+1)</f>
        <v>F16</v>
      </c>
      <c r="B368" s="3" t="str">
        <f t="array" ref="B368">INDEX('final-RA-to-framework-summary'!$C$2:$T$2, 1, INT((ROW(B367)-1)/23)+1)</f>
        <v>Mava</v>
      </c>
      <c r="C368" s="3" t="str">
        <f t="array" ref="C368">INDEX('final-RA-to-framework-summary'!$B$4:$B$26, MOD(ROW(A367)-1, 23)+1)</f>
        <v>Logger</v>
      </c>
      <c r="D368" s="3" t="str">
        <f t="array" ref="D368">INDEX('final-RA-to-framework-summary'!$C$4:$Z$26, MOD(ROW(A367)-1, 23)+1, INT((ROW(A367)-1)/23)+1)</f>
        <v>external</v>
      </c>
      <c r="E368" s="14" t="s">
        <v>503</v>
      </c>
      <c r="F368" s="10" t="s">
        <v>504</v>
      </c>
      <c r="G368" s="8"/>
      <c r="H368" s="10" t="s">
        <v>505</v>
      </c>
      <c r="I368" s="8"/>
      <c r="J368" s="8"/>
      <c r="K368" s="8"/>
      <c r="L368" s="8"/>
      <c r="M368" s="8"/>
      <c r="N368" s="8"/>
      <c r="O368" s="8"/>
      <c r="P368" s="8"/>
      <c r="Q368" s="8"/>
      <c r="R368" s="8"/>
      <c r="S368" s="8"/>
      <c r="T368" s="8"/>
      <c r="U368" s="8"/>
      <c r="V368" s="8"/>
      <c r="W368" s="8"/>
      <c r="X368" s="8"/>
      <c r="Y368" s="8"/>
      <c r="Z368" s="8"/>
    </row>
    <row r="369">
      <c r="A369" s="3" t="str">
        <f t="array" ref="A369">INDEX('final-RA-to-framework-summary'!$C$1:$T$1, 1, INT((ROW(A368)-1)/23)+1)</f>
        <v>F16</v>
      </c>
      <c r="B369" s="3" t="str">
        <f t="array" ref="B369">INDEX('final-RA-to-framework-summary'!$C$2:$T$2, 1, INT((ROW(B368)-1)/23)+1)</f>
        <v>Mava</v>
      </c>
      <c r="C369" s="3" t="str">
        <f t="array" ref="C369">INDEX('final-RA-to-framework-summary'!$B$4:$B$26, MOD(ROW(A368)-1, 23)+1)</f>
        <v>Reporter</v>
      </c>
      <c r="D369" s="3" t="str">
        <f t="array" ref="D369">INDEX('final-RA-to-framework-summary'!$C$4:$Z$26, MOD(ROW(A368)-1, 23)+1, INT((ROW(A368)-1)/23)+1)</f>
        <v>external</v>
      </c>
      <c r="E369" s="9" t="s">
        <v>506</v>
      </c>
      <c r="F369" s="10" t="s">
        <v>507</v>
      </c>
      <c r="G369" s="10" t="s">
        <v>508</v>
      </c>
      <c r="H369" s="10" t="s">
        <v>176</v>
      </c>
      <c r="I369" s="8"/>
      <c r="J369" s="8"/>
      <c r="K369" s="8"/>
      <c r="L369" s="8"/>
      <c r="M369" s="8"/>
      <c r="N369" s="8"/>
      <c r="O369" s="8"/>
      <c r="P369" s="8"/>
      <c r="Q369" s="8"/>
      <c r="R369" s="8"/>
      <c r="S369" s="8"/>
      <c r="T369" s="8"/>
      <c r="U369" s="8"/>
      <c r="V369" s="8"/>
      <c r="W369" s="8"/>
      <c r="X369" s="8"/>
      <c r="Y369" s="8"/>
      <c r="Z369" s="8"/>
    </row>
    <row r="370">
      <c r="A370" s="3" t="str">
        <f t="array" ref="A370">INDEX('final-RA-to-framework-summary'!$C$1:$T$1, 1, INT((ROW(A369)-1)/23)+1)</f>
        <v>F17</v>
      </c>
      <c r="B370" s="3" t="str">
        <f t="array" ref="B370">INDEX('final-RA-to-framework-summary'!$C$2:$T$2, 1, INT((ROW(B369)-1)/23)+1)</f>
        <v>Dopamine</v>
      </c>
      <c r="C370" s="3" t="str">
        <f t="array" ref="C370">INDEX('final-RA-to-framework-summary'!$B$4:$B$26, MOD(ROW(A369)-1, 23)+1)</f>
        <v>Experiment Orchestrator</v>
      </c>
      <c r="D370" s="3" t="str">
        <f t="array" ref="D370">INDEX('final-RA-to-framework-summary'!$C$4:$Z$26, MOD(ROW(A369)-1, 23)+1, INT((ROW(A369)-1)/23)+1)</f>
        <v>not implemented</v>
      </c>
      <c r="E370" s="8"/>
      <c r="F370" s="8"/>
      <c r="G370" s="8"/>
      <c r="H370" s="8"/>
      <c r="I370" s="8"/>
      <c r="J370" s="8"/>
      <c r="K370" s="8"/>
      <c r="L370" s="8"/>
      <c r="M370" s="8"/>
      <c r="N370" s="8"/>
      <c r="O370" s="8"/>
      <c r="P370" s="8"/>
      <c r="Q370" s="8"/>
      <c r="R370" s="8"/>
      <c r="S370" s="8"/>
      <c r="T370" s="8"/>
      <c r="U370" s="8"/>
      <c r="V370" s="8"/>
      <c r="W370" s="8"/>
      <c r="X370" s="8"/>
      <c r="Y370" s="8"/>
      <c r="Z370" s="8"/>
    </row>
    <row r="371">
      <c r="A371" s="3" t="str">
        <f t="array" ref="A371">INDEX('final-RA-to-framework-summary'!$C$1:$T$1, 1, INT((ROW(A370)-1)/23)+1)</f>
        <v>F17</v>
      </c>
      <c r="B371" s="3" t="str">
        <f t="array" ref="B371">INDEX('final-RA-to-framework-summary'!$C$2:$T$2, 1, INT((ROW(B370)-1)/23)+1)</f>
        <v>Dopamine</v>
      </c>
      <c r="C371" s="3" t="str">
        <f t="array" ref="C371">INDEX('final-RA-to-framework-summary'!$B$4:$B$26, MOD(ROW(A370)-1, 23)+1)</f>
        <v>Experiment Manager</v>
      </c>
      <c r="D371" s="3" t="str">
        <f t="array" ref="D371">INDEX('final-RA-to-framework-summary'!$C$4:$Z$26, MOD(ROW(A370)-1, 23)+1, INT((ROW(A370)-1)/23)+1)</f>
        <v>implicit</v>
      </c>
      <c r="E371" s="9" t="s">
        <v>509</v>
      </c>
      <c r="F371" s="10" t="s">
        <v>510</v>
      </c>
      <c r="G371" s="10" t="s">
        <v>511</v>
      </c>
      <c r="H371" s="8"/>
      <c r="I371" s="8"/>
      <c r="J371" s="8"/>
      <c r="K371" s="8"/>
      <c r="L371" s="8"/>
      <c r="M371" s="8"/>
      <c r="N371" s="8"/>
      <c r="O371" s="8"/>
      <c r="P371" s="8"/>
      <c r="Q371" s="8"/>
      <c r="R371" s="8"/>
      <c r="S371" s="8"/>
      <c r="T371" s="8"/>
      <c r="U371" s="8"/>
      <c r="V371" s="8"/>
      <c r="W371" s="8"/>
      <c r="X371" s="8"/>
      <c r="Y371" s="8"/>
      <c r="Z371" s="8"/>
    </row>
    <row r="372">
      <c r="A372" s="3" t="str">
        <f t="array" ref="A372">INDEX('final-RA-to-framework-summary'!$C$1:$T$1, 1, INT((ROW(A371)-1)/23)+1)</f>
        <v>F17</v>
      </c>
      <c r="B372" s="3" t="str">
        <f t="array" ref="B372">INDEX('final-RA-to-framework-summary'!$C$2:$T$2, 1, INT((ROW(B371)-1)/23)+1)</f>
        <v>Dopamine</v>
      </c>
      <c r="C372" s="3" t="str">
        <f t="array" ref="C372">INDEX('final-RA-to-framework-summary'!$B$4:$B$26, MOD(ROW(A371)-1, 23)+1)</f>
        <v>Hyperparameter Tuner</v>
      </c>
      <c r="D372" s="3" t="str">
        <f t="array" ref="D372">INDEX('final-RA-to-framework-summary'!$C$4:$Z$26, MOD(ROW(A371)-1, 23)+1, INT((ROW(A371)-1)/23)+1)</f>
        <v>not implemented</v>
      </c>
      <c r="E372" s="8"/>
      <c r="F372" s="8"/>
      <c r="G372" s="8"/>
      <c r="H372" s="8"/>
      <c r="I372" s="8"/>
      <c r="J372" s="8"/>
      <c r="K372" s="8"/>
      <c r="L372" s="8"/>
      <c r="M372" s="8"/>
      <c r="N372" s="8"/>
      <c r="O372" s="8"/>
      <c r="P372" s="8"/>
      <c r="Q372" s="8"/>
      <c r="R372" s="8"/>
      <c r="S372" s="8"/>
      <c r="T372" s="8"/>
      <c r="U372" s="8"/>
      <c r="V372" s="8"/>
      <c r="W372" s="8"/>
      <c r="X372" s="8"/>
      <c r="Y372" s="8"/>
      <c r="Z372" s="8"/>
    </row>
    <row r="373">
      <c r="A373" s="3" t="str">
        <f t="array" ref="A373">INDEX('final-RA-to-framework-summary'!$C$1:$T$1, 1, INT((ROW(A372)-1)/23)+1)</f>
        <v>F17</v>
      </c>
      <c r="B373" s="3" t="str">
        <f t="array" ref="B373">INDEX('final-RA-to-framework-summary'!$C$2:$T$2, 1, INT((ROW(B372)-1)/23)+1)</f>
        <v>Dopamine</v>
      </c>
      <c r="C373" s="3" t="str">
        <f t="array" ref="C373">INDEX('final-RA-to-framework-summary'!$B$4:$B$26, MOD(ROW(A372)-1, 23)+1)</f>
        <v>Benchmark Manager</v>
      </c>
      <c r="D373" s="3" t="str">
        <f t="array" ref="D373">INDEX('final-RA-to-framework-summary'!$C$4:$Z$26, MOD(ROW(A372)-1, 23)+1, INT((ROW(A372)-1)/23)+1)</f>
        <v>not implemented</v>
      </c>
      <c r="E373" s="8"/>
      <c r="F373" s="8"/>
      <c r="G373" s="8"/>
      <c r="H373" s="8"/>
      <c r="I373" s="8"/>
      <c r="J373" s="8"/>
      <c r="K373" s="8"/>
      <c r="L373" s="8"/>
      <c r="M373" s="8"/>
      <c r="N373" s="8"/>
      <c r="O373" s="8"/>
      <c r="P373" s="8"/>
      <c r="Q373" s="8"/>
      <c r="R373" s="8"/>
      <c r="S373" s="8"/>
      <c r="T373" s="8"/>
      <c r="U373" s="8"/>
      <c r="V373" s="8"/>
      <c r="W373" s="8"/>
      <c r="X373" s="8"/>
      <c r="Y373" s="8"/>
      <c r="Z373" s="8"/>
    </row>
    <row r="374">
      <c r="A374" s="3" t="str">
        <f t="array" ref="A374">INDEX('final-RA-to-framework-summary'!$C$1:$T$1, 1, INT((ROW(A373)-1)/23)+1)</f>
        <v>F17</v>
      </c>
      <c r="B374" s="3" t="str">
        <f t="array" ref="B374">INDEX('final-RA-to-framework-summary'!$C$2:$T$2, 1, INT((ROW(B373)-1)/23)+1)</f>
        <v>Dopamine</v>
      </c>
      <c r="C374" s="3" t="str">
        <f t="array" ref="C374">INDEX('final-RA-to-framework-summary'!$B$4:$B$26, MOD(ROW(A373)-1, 23)+1)</f>
        <v>Framework Orchestrator</v>
      </c>
      <c r="D374" s="3" t="str">
        <f t="array" ref="D374">INDEX('final-RA-to-framework-summary'!$C$4:$Z$26, MOD(ROW(A373)-1, 23)+1, INT((ROW(A373)-1)/23)+1)</f>
        <v>implicit</v>
      </c>
      <c r="E374" s="9" t="s">
        <v>512</v>
      </c>
      <c r="F374" s="10" t="s">
        <v>510</v>
      </c>
      <c r="G374" s="10" t="s">
        <v>513</v>
      </c>
      <c r="H374" s="8"/>
      <c r="I374" s="8"/>
      <c r="J374" s="8"/>
      <c r="K374" s="8"/>
      <c r="L374" s="8"/>
      <c r="M374" s="8"/>
      <c r="N374" s="8"/>
      <c r="O374" s="8"/>
      <c r="P374" s="8"/>
      <c r="Q374" s="8"/>
      <c r="R374" s="8"/>
      <c r="S374" s="8"/>
      <c r="T374" s="8"/>
      <c r="U374" s="8"/>
      <c r="V374" s="8"/>
      <c r="W374" s="8"/>
      <c r="X374" s="8"/>
      <c r="Y374" s="8"/>
      <c r="Z374" s="8"/>
    </row>
    <row r="375">
      <c r="A375" s="3" t="str">
        <f t="array" ref="A375">INDEX('final-RA-to-framework-summary'!$C$1:$T$1, 1, INT((ROW(A374)-1)/23)+1)</f>
        <v>F17</v>
      </c>
      <c r="B375" s="3" t="str">
        <f t="array" ref="B375">INDEX('final-RA-to-framework-summary'!$C$2:$T$2, 1, INT((ROW(B374)-1)/23)+1)</f>
        <v>Dopamine</v>
      </c>
      <c r="C375" s="3" t="str">
        <f t="array" ref="C375">INDEX('final-RA-to-framework-summary'!$B$4:$B$26, MOD(ROW(A374)-1, 23)+1)</f>
        <v>Lifecycle Manager</v>
      </c>
      <c r="D375" s="3" t="str">
        <f t="array" ref="D375">INDEX('final-RA-to-framework-summary'!$C$4:$Z$26, MOD(ROW(A374)-1, 23)+1, INT((ROW(A374)-1)/23)+1)</f>
        <v>implicit</v>
      </c>
      <c r="E375" s="9" t="s">
        <v>514</v>
      </c>
      <c r="F375" s="10" t="s">
        <v>515</v>
      </c>
      <c r="G375" s="10" t="s">
        <v>516</v>
      </c>
      <c r="H375" s="8"/>
      <c r="I375" s="8"/>
      <c r="J375" s="8"/>
      <c r="K375" s="8"/>
      <c r="L375" s="8"/>
      <c r="M375" s="8"/>
      <c r="N375" s="8"/>
      <c r="O375" s="8"/>
      <c r="P375" s="8"/>
      <c r="Q375" s="8"/>
      <c r="R375" s="8"/>
      <c r="S375" s="8"/>
      <c r="T375" s="8"/>
      <c r="U375" s="8"/>
      <c r="V375" s="8"/>
      <c r="W375" s="8"/>
      <c r="X375" s="8"/>
      <c r="Y375" s="8"/>
      <c r="Z375" s="8"/>
    </row>
    <row r="376">
      <c r="A376" s="3" t="str">
        <f t="array" ref="A376">INDEX('final-RA-to-framework-summary'!$C$1:$T$1, 1, INT((ROW(A375)-1)/23)+1)</f>
        <v>F17</v>
      </c>
      <c r="B376" s="3" t="str">
        <f t="array" ref="B376">INDEX('final-RA-to-framework-summary'!$C$2:$T$2, 1, INT((ROW(B375)-1)/23)+1)</f>
        <v>Dopamine</v>
      </c>
      <c r="C376" s="3" t="str">
        <f t="array" ref="C376">INDEX('final-RA-to-framework-summary'!$B$4:$B$26, MOD(ROW(A375)-1, 23)+1)</f>
        <v>Configuration Manager</v>
      </c>
      <c r="D376" s="3" t="str">
        <f t="array" ref="D376">INDEX('final-RA-to-framework-summary'!$C$4:$Z$26, MOD(ROW(A375)-1, 23)+1, INT((ROW(A375)-1)/23)+1)</f>
        <v>external</v>
      </c>
      <c r="E376" s="9" t="s">
        <v>517</v>
      </c>
      <c r="F376" s="10" t="s">
        <v>518</v>
      </c>
      <c r="G376" s="8"/>
      <c r="H376" s="10" t="s">
        <v>519</v>
      </c>
      <c r="I376" s="8"/>
      <c r="J376" s="8"/>
      <c r="K376" s="8"/>
      <c r="L376" s="8"/>
      <c r="M376" s="8"/>
      <c r="N376" s="8"/>
      <c r="O376" s="8"/>
      <c r="P376" s="8"/>
      <c r="Q376" s="8"/>
      <c r="R376" s="8"/>
      <c r="S376" s="8"/>
      <c r="T376" s="8"/>
      <c r="U376" s="8"/>
      <c r="V376" s="8"/>
      <c r="W376" s="8"/>
      <c r="X376" s="8"/>
      <c r="Y376" s="8"/>
      <c r="Z376" s="8"/>
    </row>
    <row r="377">
      <c r="A377" s="3" t="str">
        <f t="array" ref="A377">INDEX('final-RA-to-framework-summary'!$C$1:$T$1, 1, INT((ROW(A376)-1)/23)+1)</f>
        <v>F17</v>
      </c>
      <c r="B377" s="3" t="str">
        <f t="array" ref="B377">INDEX('final-RA-to-framework-summary'!$C$2:$T$2, 1, INT((ROW(B376)-1)/23)+1)</f>
        <v>Dopamine</v>
      </c>
      <c r="C377" s="3" t="str">
        <f t="array" ref="C377">INDEX('final-RA-to-framework-summary'!$B$4:$B$26, MOD(ROW(A376)-1, 23)+1)</f>
        <v>Multi-Agent Coordinator</v>
      </c>
      <c r="D377" s="3" t="str">
        <f t="array" ref="D377">INDEX('final-RA-to-framework-summary'!$C$4:$Z$26, MOD(ROW(A376)-1, 23)+1, INT((ROW(A376)-1)/23)+1)</f>
        <v>not implemented</v>
      </c>
      <c r="E377" s="8"/>
      <c r="F377" s="8"/>
      <c r="G377" s="8"/>
      <c r="H377" s="8"/>
      <c r="I377" s="8"/>
      <c r="J377" s="8"/>
      <c r="K377" s="8"/>
      <c r="L377" s="8"/>
      <c r="M377" s="8"/>
      <c r="N377" s="8"/>
      <c r="O377" s="8"/>
      <c r="P377" s="8"/>
      <c r="Q377" s="8"/>
      <c r="R377" s="8"/>
      <c r="S377" s="8"/>
      <c r="T377" s="8"/>
      <c r="U377" s="8"/>
      <c r="V377" s="8"/>
      <c r="W377" s="8"/>
      <c r="X377" s="8"/>
      <c r="Y377" s="8"/>
      <c r="Z377" s="8"/>
    </row>
    <row r="378">
      <c r="A378" s="3" t="str">
        <f t="array" ref="A378">INDEX('final-RA-to-framework-summary'!$C$1:$T$1, 1, INT((ROW(A377)-1)/23)+1)</f>
        <v>F17</v>
      </c>
      <c r="B378" s="3" t="str">
        <f t="array" ref="B378">INDEX('final-RA-to-framework-summary'!$C$2:$T$2, 1, INT((ROW(B377)-1)/23)+1)</f>
        <v>Dopamine</v>
      </c>
      <c r="C378" s="3" t="str">
        <f t="array" ref="C378">INDEX('final-RA-to-framework-summary'!$B$4:$B$26, MOD(ROW(A377)-1, 23)+1)</f>
        <v>Distributed Execution 
Coordinator</v>
      </c>
      <c r="D378" s="3" t="str">
        <f t="array" ref="D378">INDEX('final-RA-to-framework-summary'!$C$4:$Z$26, MOD(ROW(A377)-1, 23)+1, INT((ROW(A377)-1)/23)+1)</f>
        <v>not implemented</v>
      </c>
      <c r="E378" s="8"/>
      <c r="F378" s="8"/>
      <c r="G378" s="8"/>
      <c r="H378" s="8"/>
      <c r="I378" s="8"/>
      <c r="J378" s="8"/>
      <c r="K378" s="8"/>
      <c r="L378" s="8"/>
      <c r="M378" s="8"/>
      <c r="N378" s="8"/>
      <c r="O378" s="8"/>
      <c r="P378" s="8"/>
      <c r="Q378" s="8"/>
      <c r="R378" s="8"/>
      <c r="S378" s="8"/>
      <c r="T378" s="8"/>
      <c r="U378" s="8"/>
      <c r="V378" s="8"/>
      <c r="W378" s="8"/>
      <c r="X378" s="8"/>
      <c r="Y378" s="8"/>
      <c r="Z378" s="8"/>
    </row>
    <row r="379">
      <c r="A379" s="3" t="str">
        <f t="array" ref="A379">INDEX('final-RA-to-framework-summary'!$C$1:$T$1, 1, INT((ROW(A378)-1)/23)+1)</f>
        <v>F17</v>
      </c>
      <c r="B379" s="3" t="str">
        <f t="array" ref="B379">INDEX('final-RA-to-framework-summary'!$C$2:$T$2, 1, INT((ROW(B378)-1)/23)+1)</f>
        <v>Dopamine</v>
      </c>
      <c r="C379" s="3" t="str">
        <f t="array" ref="C379">INDEX('final-RA-to-framework-summary'!$B$4:$B$26, MOD(ROW(A378)-1, 23)+1)</f>
        <v>Agent</v>
      </c>
      <c r="D379" s="3" t="str">
        <f t="array" ref="D379">INDEX('final-RA-to-framework-summary'!$C$4:$Z$26, MOD(ROW(A378)-1, 23)+1, INT((ROW(A378)-1)/23)+1)</f>
        <v>explicit</v>
      </c>
      <c r="E379" s="14" t="s">
        <v>520</v>
      </c>
      <c r="F379" s="10" t="s">
        <v>521</v>
      </c>
      <c r="G379" s="10" t="s">
        <v>522</v>
      </c>
      <c r="H379" s="8"/>
      <c r="I379" s="8"/>
      <c r="J379" s="8"/>
      <c r="K379" s="8"/>
      <c r="L379" s="8"/>
      <c r="M379" s="8"/>
      <c r="N379" s="8"/>
      <c r="O379" s="8"/>
      <c r="P379" s="8"/>
      <c r="Q379" s="8"/>
      <c r="R379" s="8"/>
      <c r="S379" s="8"/>
      <c r="T379" s="8"/>
      <c r="U379" s="8"/>
      <c r="V379" s="8"/>
      <c r="W379" s="8"/>
      <c r="X379" s="8"/>
      <c r="Y379" s="8"/>
      <c r="Z379" s="8"/>
    </row>
    <row r="380">
      <c r="A380" s="3" t="str">
        <f t="array" ref="A380">INDEX('final-RA-to-framework-summary'!$C$1:$T$1, 1, INT((ROW(A379)-1)/23)+1)</f>
        <v>F17</v>
      </c>
      <c r="B380" s="3" t="str">
        <f t="array" ref="B380">INDEX('final-RA-to-framework-summary'!$C$2:$T$2, 1, INT((ROW(B379)-1)/23)+1)</f>
        <v>Dopamine</v>
      </c>
      <c r="C380" s="3" t="str">
        <f t="array" ref="C380">INDEX('final-RA-to-framework-summary'!$B$4:$B$26, MOD(ROW(A379)-1, 23)+1)</f>
        <v>Function Approximator</v>
      </c>
      <c r="D380" s="3" t="str">
        <f t="array" ref="D380">INDEX('final-RA-to-framework-summary'!$C$4:$Z$26, MOD(ROW(A379)-1, 23)+1, INT((ROW(A379)-1)/23)+1)</f>
        <v>implicit</v>
      </c>
      <c r="E380" s="9" t="s">
        <v>523</v>
      </c>
      <c r="F380" s="10" t="s">
        <v>524</v>
      </c>
      <c r="G380" s="10" t="s">
        <v>525</v>
      </c>
      <c r="H380" s="8"/>
      <c r="I380" s="8"/>
      <c r="J380" s="8"/>
      <c r="K380" s="8"/>
      <c r="L380" s="8"/>
      <c r="M380" s="8"/>
      <c r="N380" s="8"/>
      <c r="O380" s="8"/>
      <c r="P380" s="8"/>
      <c r="Q380" s="8"/>
      <c r="R380" s="8"/>
      <c r="S380" s="8"/>
      <c r="T380" s="8"/>
      <c r="U380" s="8"/>
      <c r="V380" s="8"/>
      <c r="W380" s="8"/>
      <c r="X380" s="8"/>
      <c r="Y380" s="8"/>
      <c r="Z380" s="8"/>
    </row>
    <row r="381">
      <c r="A381" s="3" t="str">
        <f t="array" ref="A381">INDEX('final-RA-to-framework-summary'!$C$1:$T$1, 1, INT((ROW(A380)-1)/23)+1)</f>
        <v>F17</v>
      </c>
      <c r="B381" s="3" t="str">
        <f t="array" ref="B381">INDEX('final-RA-to-framework-summary'!$C$2:$T$2, 1, INT((ROW(B380)-1)/23)+1)</f>
        <v>Dopamine</v>
      </c>
      <c r="C381" s="3" t="str">
        <f t="array" ref="C381">INDEX('final-RA-to-framework-summary'!$B$4:$B$26, MOD(ROW(A380)-1, 23)+1)</f>
        <v>Buffer</v>
      </c>
      <c r="D381" s="3" t="str">
        <f t="array" ref="D381">INDEX('final-RA-to-framework-summary'!$C$4:$Z$26, MOD(ROW(A380)-1, 23)+1, INT((ROW(A380)-1)/23)+1)</f>
        <v>explicit</v>
      </c>
      <c r="E381" s="9" t="s">
        <v>526</v>
      </c>
      <c r="F381" s="10" t="s">
        <v>527</v>
      </c>
      <c r="G381" s="8"/>
      <c r="H381" s="8"/>
      <c r="I381" s="8"/>
      <c r="J381" s="8"/>
      <c r="K381" s="8"/>
      <c r="L381" s="8"/>
      <c r="M381" s="8"/>
      <c r="N381" s="8"/>
      <c r="O381" s="8"/>
      <c r="P381" s="8"/>
      <c r="Q381" s="8"/>
      <c r="R381" s="8"/>
      <c r="S381" s="8"/>
      <c r="T381" s="8"/>
      <c r="U381" s="8"/>
      <c r="V381" s="8"/>
      <c r="W381" s="8"/>
      <c r="X381" s="8"/>
      <c r="Y381" s="8"/>
      <c r="Z381" s="8"/>
    </row>
    <row r="382">
      <c r="A382" s="3" t="str">
        <f t="array" ref="A382">INDEX('final-RA-to-framework-summary'!$C$1:$T$1, 1, INT((ROW(A381)-1)/23)+1)</f>
        <v>F17</v>
      </c>
      <c r="B382" s="3" t="str">
        <f t="array" ref="B382">INDEX('final-RA-to-framework-summary'!$C$2:$T$2, 1, INT((ROW(B381)-1)/23)+1)</f>
        <v>Dopamine</v>
      </c>
      <c r="C382" s="3" t="str">
        <f t="array" ref="C382">INDEX('final-RA-to-framework-summary'!$B$4:$B$26, MOD(ROW(A381)-1, 23)+1)</f>
        <v>Learner</v>
      </c>
      <c r="D382" s="3" t="str">
        <f t="array" ref="D382">INDEX('final-RA-to-framework-summary'!$C$4:$Z$26, MOD(ROW(A381)-1, 23)+1, INT((ROW(A381)-1)/23)+1)</f>
        <v>implicit</v>
      </c>
      <c r="E382" s="9" t="s">
        <v>528</v>
      </c>
      <c r="F382" s="10" t="s">
        <v>529</v>
      </c>
      <c r="G382" s="10" t="s">
        <v>530</v>
      </c>
      <c r="H382" s="8"/>
      <c r="I382" s="8"/>
      <c r="J382" s="8"/>
      <c r="K382" s="8"/>
      <c r="L382" s="8"/>
      <c r="M382" s="8"/>
      <c r="N382" s="8"/>
      <c r="O382" s="8"/>
      <c r="P382" s="8"/>
      <c r="Q382" s="8"/>
      <c r="R382" s="8"/>
      <c r="S382" s="8"/>
      <c r="T382" s="8"/>
      <c r="U382" s="8"/>
      <c r="V382" s="8"/>
      <c r="W382" s="8"/>
      <c r="X382" s="8"/>
      <c r="Y382" s="8"/>
      <c r="Z382" s="8"/>
    </row>
    <row r="383">
      <c r="A383" s="3" t="str">
        <f t="array" ref="A383">INDEX('final-RA-to-framework-summary'!$C$1:$T$1, 1, INT((ROW(A382)-1)/23)+1)</f>
        <v>F17</v>
      </c>
      <c r="B383" s="3" t="str">
        <f t="array" ref="B383">INDEX('final-RA-to-framework-summary'!$C$2:$T$2, 1, INT((ROW(B382)-1)/23)+1)</f>
        <v>Dopamine</v>
      </c>
      <c r="C383" s="3" t="str">
        <f t="array" ref="C383">INDEX('final-RA-to-framework-summary'!$B$4:$B$26, MOD(ROW(A382)-1, 23)+1)</f>
        <v>Environment</v>
      </c>
      <c r="D383" s="3" t="str">
        <f t="array" ref="D383">INDEX('final-RA-to-framework-summary'!$C$4:$Z$26, MOD(ROW(A382)-1, 23)+1, INT((ROW(A382)-1)/23)+1)</f>
        <v>not implemented</v>
      </c>
      <c r="E383" s="8"/>
      <c r="F383" s="8"/>
      <c r="G383" s="8"/>
      <c r="H383" s="8"/>
      <c r="I383" s="8"/>
      <c r="J383" s="8"/>
      <c r="K383" s="8"/>
      <c r="L383" s="8"/>
      <c r="M383" s="8"/>
      <c r="N383" s="8"/>
      <c r="O383" s="8"/>
      <c r="P383" s="8"/>
      <c r="Q383" s="8"/>
      <c r="R383" s="8"/>
      <c r="S383" s="8"/>
      <c r="T383" s="8"/>
      <c r="U383" s="8"/>
      <c r="V383" s="8"/>
      <c r="W383" s="8"/>
      <c r="X383" s="8"/>
      <c r="Y383" s="8"/>
      <c r="Z383" s="8"/>
    </row>
    <row r="384">
      <c r="A384" s="3" t="str">
        <f t="array" ref="A384">INDEX('final-RA-to-framework-summary'!$C$1:$T$1, 1, INT((ROW(A383)-1)/23)+1)</f>
        <v>F17</v>
      </c>
      <c r="B384" s="3" t="str">
        <f t="array" ref="B384">INDEX('final-RA-to-framework-summary'!$C$2:$T$2, 1, INT((ROW(B383)-1)/23)+1)</f>
        <v>Dopamine</v>
      </c>
      <c r="C384" s="3" t="str">
        <f t="array" ref="C384">INDEX('final-RA-to-framework-summary'!$B$4:$B$26, MOD(ROW(A383)-1, 23)+1)</f>
        <v>Environment Core</v>
      </c>
      <c r="D384" s="3" t="str">
        <f t="array" ref="D384">INDEX('final-RA-to-framework-summary'!$C$4:$Z$26, MOD(ROW(A383)-1, 23)+1, INT((ROW(A383)-1)/23)+1)</f>
        <v>not implemented</v>
      </c>
      <c r="E384" s="8"/>
      <c r="F384" s="8"/>
      <c r="G384" s="8"/>
      <c r="H384" s="8"/>
      <c r="I384" s="8"/>
      <c r="J384" s="8"/>
      <c r="K384" s="8"/>
      <c r="L384" s="8"/>
      <c r="M384" s="8"/>
      <c r="N384" s="8"/>
      <c r="O384" s="8"/>
      <c r="P384" s="8"/>
      <c r="Q384" s="8"/>
      <c r="R384" s="8"/>
      <c r="S384" s="8"/>
      <c r="T384" s="8"/>
      <c r="U384" s="8"/>
      <c r="V384" s="8"/>
      <c r="W384" s="8"/>
      <c r="X384" s="8"/>
      <c r="Y384" s="8"/>
      <c r="Z384" s="8"/>
    </row>
    <row r="385">
      <c r="A385" s="3" t="str">
        <f t="array" ref="A385">INDEX('final-RA-to-framework-summary'!$C$1:$T$1, 1, INT((ROW(A384)-1)/23)+1)</f>
        <v>F17</v>
      </c>
      <c r="B385" s="3" t="str">
        <f t="array" ref="B385">INDEX('final-RA-to-framework-summary'!$C$2:$T$2, 1, INT((ROW(B384)-1)/23)+1)</f>
        <v>Dopamine</v>
      </c>
      <c r="C385" s="3" t="str">
        <f t="array" ref="C385">INDEX('final-RA-to-framework-summary'!$B$4:$B$26, MOD(ROW(A384)-1, 23)+1)</f>
        <v>Simulator</v>
      </c>
      <c r="D385" s="3" t="str">
        <f t="array" ref="D385">INDEX('final-RA-to-framework-summary'!$C$4:$Z$26, MOD(ROW(A384)-1, 23)+1, INT((ROW(A384)-1)/23)+1)</f>
        <v>not implemented</v>
      </c>
      <c r="E385" s="8"/>
      <c r="F385" s="8"/>
      <c r="G385" s="8"/>
      <c r="H385" s="8"/>
      <c r="I385" s="8"/>
      <c r="J385" s="8"/>
      <c r="K385" s="8"/>
      <c r="L385" s="8"/>
      <c r="M385" s="8"/>
      <c r="N385" s="8"/>
      <c r="O385" s="8"/>
      <c r="P385" s="8"/>
      <c r="Q385" s="8"/>
      <c r="R385" s="8"/>
      <c r="S385" s="8"/>
      <c r="T385" s="8"/>
      <c r="U385" s="8"/>
      <c r="V385" s="8"/>
      <c r="W385" s="8"/>
      <c r="X385" s="8"/>
      <c r="Y385" s="8"/>
      <c r="Z385" s="8"/>
    </row>
    <row r="386">
      <c r="A386" s="3" t="str">
        <f t="array" ref="A386">INDEX('final-RA-to-framework-summary'!$C$1:$T$1, 1, INT((ROW(A385)-1)/23)+1)</f>
        <v>F17</v>
      </c>
      <c r="B386" s="3" t="str">
        <f t="array" ref="B386">INDEX('final-RA-to-framework-summary'!$C$2:$T$2, 1, INT((ROW(B385)-1)/23)+1)</f>
        <v>Dopamine</v>
      </c>
      <c r="C386" s="3" t="str">
        <f t="array" ref="C386">INDEX('final-RA-to-framework-summary'!$B$4:$B$26, MOD(ROW(A385)-1, 23)+1)</f>
        <v>Simulator Adapter</v>
      </c>
      <c r="D386" s="3" t="str">
        <f t="array" ref="D386">INDEX('final-RA-to-framework-summary'!$C$4:$Z$26, MOD(ROW(A385)-1, 23)+1, INT((ROW(A385)-1)/23)+1)</f>
        <v>not implemented</v>
      </c>
      <c r="E386" s="8"/>
      <c r="F386" s="8"/>
      <c r="G386" s="8"/>
      <c r="H386" s="8"/>
      <c r="I386" s="8"/>
      <c r="J386" s="8"/>
      <c r="K386" s="8"/>
      <c r="L386" s="8"/>
      <c r="M386" s="8"/>
      <c r="N386" s="8"/>
      <c r="O386" s="8"/>
      <c r="P386" s="8"/>
      <c r="Q386" s="8"/>
      <c r="R386" s="8"/>
      <c r="S386" s="8"/>
      <c r="T386" s="8"/>
      <c r="U386" s="8"/>
      <c r="V386" s="8"/>
      <c r="W386" s="8"/>
      <c r="X386" s="8"/>
      <c r="Y386" s="8"/>
      <c r="Z386" s="8"/>
    </row>
    <row r="387">
      <c r="A387" s="3" t="str">
        <f t="array" ref="A387">INDEX('final-RA-to-framework-summary'!$C$1:$T$1, 1, INT((ROW(A386)-1)/23)+1)</f>
        <v>F17</v>
      </c>
      <c r="B387" s="3" t="str">
        <f t="array" ref="B387">INDEX('final-RA-to-framework-summary'!$C$2:$T$2, 1, INT((ROW(B386)-1)/23)+1)</f>
        <v>Dopamine</v>
      </c>
      <c r="C387" s="3" t="str">
        <f t="array" ref="C387">INDEX('final-RA-to-framework-summary'!$B$4:$B$26, MOD(ROW(A386)-1, 23)+1)</f>
        <v>Checkpoint Manager</v>
      </c>
      <c r="D387" s="3" t="str">
        <f t="array" ref="D387">INDEX('final-RA-to-framework-summary'!$C$4:$Z$26, MOD(ROW(A386)-1, 23)+1, INT((ROW(A386)-1)/23)+1)</f>
        <v>explicit</v>
      </c>
      <c r="E387" s="9" t="s">
        <v>531</v>
      </c>
      <c r="F387" s="10" t="s">
        <v>532</v>
      </c>
      <c r="G387" s="8"/>
      <c r="H387" s="8"/>
      <c r="I387" s="8"/>
      <c r="J387" s="8"/>
      <c r="K387" s="8"/>
      <c r="L387" s="8"/>
      <c r="M387" s="8"/>
      <c r="N387" s="8"/>
      <c r="O387" s="8"/>
      <c r="P387" s="8"/>
      <c r="Q387" s="8"/>
      <c r="R387" s="8"/>
      <c r="S387" s="8"/>
      <c r="T387" s="8"/>
      <c r="U387" s="8"/>
      <c r="V387" s="8"/>
      <c r="W387" s="8"/>
      <c r="X387" s="8"/>
      <c r="Y387" s="8"/>
      <c r="Z387" s="8"/>
    </row>
    <row r="388">
      <c r="A388" s="3" t="str">
        <f t="array" ref="A388">INDEX('final-RA-to-framework-summary'!$C$1:$T$1, 1, INT((ROW(A387)-1)/23)+1)</f>
        <v>F17</v>
      </c>
      <c r="B388" s="3" t="str">
        <f t="array" ref="B388">INDEX('final-RA-to-framework-summary'!$C$2:$T$2, 1, INT((ROW(B387)-1)/23)+1)</f>
        <v>Dopamine</v>
      </c>
      <c r="C388" s="3" t="str">
        <f t="array" ref="C388">INDEX('final-RA-to-framework-summary'!$B$4:$B$26, MOD(ROW(A387)-1, 23)+1)</f>
        <v>Environment Parameter 
Manager</v>
      </c>
      <c r="D388" s="3" t="str">
        <f t="array" ref="D388">INDEX('final-RA-to-framework-summary'!$C$4:$Z$26, MOD(ROW(A387)-1, 23)+1, INT((ROW(A387)-1)/23)+1)</f>
        <v>not implemented</v>
      </c>
      <c r="E388" s="8"/>
      <c r="F388" s="8"/>
      <c r="G388" s="8"/>
      <c r="H388" s="8"/>
      <c r="I388" s="8"/>
      <c r="J388" s="8"/>
      <c r="K388" s="8"/>
      <c r="L388" s="8"/>
      <c r="M388" s="8"/>
      <c r="N388" s="8"/>
      <c r="O388" s="8"/>
      <c r="P388" s="8"/>
      <c r="Q388" s="8"/>
      <c r="R388" s="8"/>
      <c r="S388" s="8"/>
      <c r="T388" s="8"/>
      <c r="U388" s="8"/>
      <c r="V388" s="8"/>
      <c r="W388" s="8"/>
      <c r="X388" s="8"/>
      <c r="Y388" s="8"/>
      <c r="Z388" s="8"/>
    </row>
    <row r="389">
      <c r="A389" s="3" t="str">
        <f t="array" ref="A389">INDEX('final-RA-to-framework-summary'!$C$1:$T$1, 1, INT((ROW(A388)-1)/23)+1)</f>
        <v>F17</v>
      </c>
      <c r="B389" s="3" t="str">
        <f t="array" ref="B389">INDEX('final-RA-to-framework-summary'!$C$2:$T$2, 1, INT((ROW(B388)-1)/23)+1)</f>
        <v>Dopamine</v>
      </c>
      <c r="C389" s="3" t="str">
        <f t="array" ref="C389">INDEX('final-RA-to-framework-summary'!$B$4:$B$26, MOD(ROW(A388)-1, 23)+1)</f>
        <v>Renderer</v>
      </c>
      <c r="D389" s="3" t="str">
        <f t="array" ref="D389">INDEX('final-RA-to-framework-summary'!$C$4:$Z$26, MOD(ROW(A388)-1, 23)+1, INT((ROW(A388)-1)/23)+1)</f>
        <v>not implemented</v>
      </c>
      <c r="E389" s="8"/>
      <c r="F389" s="8"/>
      <c r="G389" s="8"/>
      <c r="H389" s="8"/>
      <c r="I389" s="8"/>
      <c r="J389" s="8"/>
      <c r="K389" s="8"/>
      <c r="L389" s="8"/>
      <c r="M389" s="8"/>
      <c r="N389" s="8"/>
      <c r="O389" s="8"/>
      <c r="P389" s="8"/>
      <c r="Q389" s="8"/>
      <c r="R389" s="8"/>
      <c r="S389" s="8"/>
      <c r="T389" s="8"/>
      <c r="U389" s="8"/>
      <c r="V389" s="8"/>
      <c r="W389" s="8"/>
      <c r="X389" s="8"/>
      <c r="Y389" s="8"/>
      <c r="Z389" s="8"/>
    </row>
    <row r="390">
      <c r="A390" s="3" t="str">
        <f t="array" ref="A390">INDEX('final-RA-to-framework-summary'!$C$1:$T$1, 1, INT((ROW(A389)-1)/23)+1)</f>
        <v>F17</v>
      </c>
      <c r="B390" s="3" t="str">
        <f t="array" ref="B390">INDEX('final-RA-to-framework-summary'!$C$2:$T$2, 1, INT((ROW(B389)-1)/23)+1)</f>
        <v>Dopamine</v>
      </c>
      <c r="C390" s="3" t="str">
        <f t="array" ref="C390">INDEX('final-RA-to-framework-summary'!$B$4:$B$26, MOD(ROW(A389)-1, 23)+1)</f>
        <v>Recorder</v>
      </c>
      <c r="D390" s="3" t="str">
        <f t="array" ref="D390">INDEX('final-RA-to-framework-summary'!$C$4:$Z$26, MOD(ROW(A389)-1, 23)+1, INT((ROW(A389)-1)/23)+1)</f>
        <v>explicit</v>
      </c>
      <c r="E390" s="9" t="s">
        <v>533</v>
      </c>
      <c r="F390" s="10" t="s">
        <v>534</v>
      </c>
      <c r="G390" s="10" t="s">
        <v>535</v>
      </c>
      <c r="H390" s="8"/>
      <c r="I390" s="8"/>
      <c r="J390" s="8"/>
      <c r="K390" s="8"/>
      <c r="L390" s="8"/>
      <c r="M390" s="8"/>
      <c r="N390" s="8"/>
      <c r="O390" s="8"/>
      <c r="P390" s="8"/>
      <c r="Q390" s="8"/>
      <c r="R390" s="8"/>
      <c r="S390" s="8"/>
      <c r="T390" s="8"/>
      <c r="U390" s="8"/>
      <c r="V390" s="8"/>
      <c r="W390" s="8"/>
      <c r="X390" s="8"/>
      <c r="Y390" s="8"/>
      <c r="Z390" s="8"/>
    </row>
    <row r="391">
      <c r="A391" s="3" t="str">
        <f t="array" ref="A391">INDEX('final-RA-to-framework-summary'!$C$1:$T$1, 1, INT((ROW(A390)-1)/23)+1)</f>
        <v>F17</v>
      </c>
      <c r="B391" s="3" t="str">
        <f t="array" ref="B391">INDEX('final-RA-to-framework-summary'!$C$2:$T$2, 1, INT((ROW(B390)-1)/23)+1)</f>
        <v>Dopamine</v>
      </c>
      <c r="C391" s="3" t="str">
        <f t="array" ref="C391">INDEX('final-RA-to-framework-summary'!$B$4:$B$26, MOD(ROW(A390)-1, 23)+1)</f>
        <v>Logger</v>
      </c>
      <c r="D391" s="3" t="str">
        <f t="array" ref="D391">INDEX('final-RA-to-framework-summary'!$C$4:$Z$26, MOD(ROW(A390)-1, 23)+1, INT((ROW(A390)-1)/23)+1)</f>
        <v>explicit</v>
      </c>
      <c r="E391" s="9" t="s">
        <v>536</v>
      </c>
      <c r="F391" s="10" t="s">
        <v>537</v>
      </c>
      <c r="G391" s="8"/>
      <c r="H391" s="8"/>
      <c r="I391" s="8"/>
      <c r="J391" s="8"/>
      <c r="K391" s="8"/>
      <c r="L391" s="8"/>
      <c r="M391" s="8"/>
      <c r="N391" s="8"/>
      <c r="O391" s="8"/>
      <c r="P391" s="8"/>
      <c r="Q391" s="8"/>
      <c r="R391" s="8"/>
      <c r="S391" s="8"/>
      <c r="T391" s="8"/>
      <c r="U391" s="8"/>
      <c r="V391" s="8"/>
      <c r="W391" s="8"/>
      <c r="X391" s="8"/>
      <c r="Y391" s="8"/>
      <c r="Z391" s="8"/>
    </row>
    <row r="392">
      <c r="A392" s="3" t="str">
        <f t="array" ref="A392">INDEX('final-RA-to-framework-summary'!$C$1:$T$1, 1, INT((ROW(A391)-1)/23)+1)</f>
        <v>F17</v>
      </c>
      <c r="B392" s="3" t="str">
        <f t="array" ref="B392">INDEX('final-RA-to-framework-summary'!$C$2:$T$2, 1, INT((ROW(B391)-1)/23)+1)</f>
        <v>Dopamine</v>
      </c>
      <c r="C392" s="3" t="str">
        <f t="array" ref="C392">INDEX('final-RA-to-framework-summary'!$B$4:$B$26, MOD(ROW(A391)-1, 23)+1)</f>
        <v>Reporter</v>
      </c>
      <c r="D392" s="3" t="str">
        <f t="array" ref="D392">INDEX('final-RA-to-framework-summary'!$C$4:$Z$26, MOD(ROW(A391)-1, 23)+1, INT((ROW(A391)-1)/23)+1)</f>
        <v>external</v>
      </c>
      <c r="E392" s="9" t="s">
        <v>538</v>
      </c>
      <c r="F392" s="10" t="s">
        <v>539</v>
      </c>
      <c r="G392" s="8"/>
      <c r="H392" s="10" t="s">
        <v>176</v>
      </c>
      <c r="I392" s="8"/>
      <c r="J392" s="8"/>
      <c r="K392" s="8"/>
      <c r="L392" s="8"/>
      <c r="M392" s="8"/>
      <c r="N392" s="8"/>
      <c r="O392" s="8"/>
      <c r="P392" s="8"/>
      <c r="Q392" s="8"/>
      <c r="R392" s="8"/>
      <c r="S392" s="8"/>
      <c r="T392" s="8"/>
      <c r="U392" s="8"/>
      <c r="V392" s="8"/>
      <c r="W392" s="8"/>
      <c r="X392" s="8"/>
      <c r="Y392" s="8"/>
      <c r="Z392" s="8"/>
    </row>
    <row r="393">
      <c r="A393" s="3" t="str">
        <f t="array" ref="A393">INDEX('final-RA-to-framework-summary'!$C$1:$T$1, 1, INT((ROW(A392)-1)/23)+1)</f>
        <v>F18</v>
      </c>
      <c r="B393" s="3" t="str">
        <f t="array" ref="B393">INDEX('final-RA-to-framework-summary'!$C$2:$T$2, 1, INT((ROW(B392)-1)/23)+1)</f>
        <v>Tianshou</v>
      </c>
      <c r="C393" s="3" t="str">
        <f t="array" ref="C393">INDEX('final-RA-to-framework-summary'!$B$4:$B$26, MOD(ROW(A392)-1, 23)+1)</f>
        <v>Experiment Orchestrator</v>
      </c>
      <c r="D393" s="3" t="str">
        <f t="array" ref="D393">INDEX('final-RA-to-framework-summary'!$C$4:$Z$26, MOD(ROW(A392)-1, 23)+1, INT((ROW(A392)-1)/23)+1)</f>
        <v>not implemented</v>
      </c>
      <c r="E393" s="8"/>
      <c r="F393" s="8"/>
      <c r="G393" s="8"/>
      <c r="H393" s="8"/>
      <c r="I393" s="8"/>
      <c r="J393" s="8"/>
      <c r="K393" s="8"/>
      <c r="L393" s="8"/>
      <c r="M393" s="8"/>
      <c r="N393" s="8"/>
      <c r="O393" s="8"/>
      <c r="P393" s="8"/>
      <c r="Q393" s="8"/>
      <c r="R393" s="8"/>
      <c r="S393" s="8"/>
      <c r="T393" s="8"/>
      <c r="U393" s="8"/>
      <c r="V393" s="8"/>
      <c r="W393" s="8"/>
      <c r="X393" s="8"/>
      <c r="Y393" s="8"/>
      <c r="Z393" s="8"/>
    </row>
    <row r="394">
      <c r="A394" s="3" t="str">
        <f t="array" ref="A394">INDEX('final-RA-to-framework-summary'!$C$1:$T$1, 1, INT((ROW(A393)-1)/23)+1)</f>
        <v>F18</v>
      </c>
      <c r="B394" s="3" t="str">
        <f t="array" ref="B394">INDEX('final-RA-to-framework-summary'!$C$2:$T$2, 1, INT((ROW(B393)-1)/23)+1)</f>
        <v>Tianshou</v>
      </c>
      <c r="C394" s="3" t="str">
        <f t="array" ref="C394">INDEX('final-RA-to-framework-summary'!$B$4:$B$26, MOD(ROW(A393)-1, 23)+1)</f>
        <v>Experiment Manager</v>
      </c>
      <c r="D394" s="3" t="str">
        <f t="array" ref="D394">INDEX('final-RA-to-framework-summary'!$C$4:$Z$26, MOD(ROW(A393)-1, 23)+1, INT((ROW(A393)-1)/23)+1)</f>
        <v>explicit</v>
      </c>
      <c r="E394" s="9" t="s">
        <v>540</v>
      </c>
      <c r="F394" s="10" t="s">
        <v>541</v>
      </c>
      <c r="G394" s="10" t="s">
        <v>542</v>
      </c>
      <c r="H394" s="8"/>
      <c r="I394" s="8"/>
      <c r="J394" s="8"/>
      <c r="K394" s="8"/>
      <c r="L394" s="8"/>
      <c r="M394" s="8"/>
      <c r="N394" s="8"/>
      <c r="O394" s="8"/>
      <c r="P394" s="8"/>
      <c r="Q394" s="8"/>
      <c r="R394" s="8"/>
      <c r="S394" s="8"/>
      <c r="T394" s="8"/>
      <c r="U394" s="8"/>
      <c r="V394" s="8"/>
      <c r="W394" s="8"/>
      <c r="X394" s="8"/>
      <c r="Y394" s="8"/>
      <c r="Z394" s="8"/>
    </row>
    <row r="395">
      <c r="A395" s="3" t="str">
        <f t="array" ref="A395">INDEX('final-RA-to-framework-summary'!$C$1:$T$1, 1, INT((ROW(A394)-1)/23)+1)</f>
        <v>F18</v>
      </c>
      <c r="B395" s="3" t="str">
        <f t="array" ref="B395">INDEX('final-RA-to-framework-summary'!$C$2:$T$2, 1, INT((ROW(B394)-1)/23)+1)</f>
        <v>Tianshou</v>
      </c>
      <c r="C395" s="3" t="str">
        <f t="array" ref="C395">INDEX('final-RA-to-framework-summary'!$B$4:$B$26, MOD(ROW(A394)-1, 23)+1)</f>
        <v>Hyperparameter Tuner</v>
      </c>
      <c r="D395" s="3" t="str">
        <f t="array" ref="D395">INDEX('final-RA-to-framework-summary'!$C$4:$Z$26, MOD(ROW(A394)-1, 23)+1, INT((ROW(A394)-1)/23)+1)</f>
        <v>not implemented</v>
      </c>
      <c r="E395" s="8"/>
      <c r="F395" s="8"/>
      <c r="G395" s="8"/>
      <c r="H395" s="8"/>
      <c r="I395" s="8"/>
      <c r="J395" s="8"/>
      <c r="K395" s="8"/>
      <c r="L395" s="8"/>
      <c r="M395" s="8"/>
      <c r="N395" s="8"/>
      <c r="O395" s="8"/>
      <c r="P395" s="8"/>
      <c r="Q395" s="8"/>
      <c r="R395" s="8"/>
      <c r="S395" s="8"/>
      <c r="T395" s="8"/>
      <c r="U395" s="8"/>
      <c r="V395" s="8"/>
      <c r="W395" s="8"/>
      <c r="X395" s="8"/>
      <c r="Y395" s="8"/>
      <c r="Z395" s="8"/>
    </row>
    <row r="396">
      <c r="A396" s="3" t="str">
        <f t="array" ref="A396">INDEX('final-RA-to-framework-summary'!$C$1:$T$1, 1, INT((ROW(A395)-1)/23)+1)</f>
        <v>F18</v>
      </c>
      <c r="B396" s="3" t="str">
        <f t="array" ref="B396">INDEX('final-RA-to-framework-summary'!$C$2:$T$2, 1, INT((ROW(B395)-1)/23)+1)</f>
        <v>Tianshou</v>
      </c>
      <c r="C396" s="3" t="str">
        <f t="array" ref="C396">INDEX('final-RA-to-framework-summary'!$B$4:$B$26, MOD(ROW(A395)-1, 23)+1)</f>
        <v>Benchmark Manager</v>
      </c>
      <c r="D396" s="3" t="str">
        <f t="array" ref="D396">INDEX('final-RA-to-framework-summary'!$C$4:$Z$26, MOD(ROW(A395)-1, 23)+1, INT((ROW(A395)-1)/23)+1)</f>
        <v>not implemented</v>
      </c>
      <c r="E396" s="8"/>
      <c r="F396" s="8"/>
      <c r="G396" s="8"/>
      <c r="H396" s="8"/>
      <c r="I396" s="8"/>
      <c r="J396" s="8"/>
      <c r="K396" s="8"/>
      <c r="L396" s="8"/>
      <c r="M396" s="8"/>
      <c r="N396" s="8"/>
      <c r="O396" s="8"/>
      <c r="P396" s="8"/>
      <c r="Q396" s="8"/>
      <c r="R396" s="8"/>
      <c r="S396" s="8"/>
      <c r="T396" s="8"/>
      <c r="U396" s="8"/>
      <c r="V396" s="8"/>
      <c r="W396" s="8"/>
      <c r="X396" s="8"/>
      <c r="Y396" s="8"/>
      <c r="Z396" s="8"/>
    </row>
    <row r="397">
      <c r="A397" s="3" t="str">
        <f t="array" ref="A397">INDEX('final-RA-to-framework-summary'!$C$1:$T$1, 1, INT((ROW(A396)-1)/23)+1)</f>
        <v>F18</v>
      </c>
      <c r="B397" s="3" t="str">
        <f t="array" ref="B397">INDEX('final-RA-to-framework-summary'!$C$2:$T$2, 1, INT((ROW(B396)-1)/23)+1)</f>
        <v>Tianshou</v>
      </c>
      <c r="C397" s="3" t="str">
        <f t="array" ref="C397">INDEX('final-RA-to-framework-summary'!$B$4:$B$26, MOD(ROW(A396)-1, 23)+1)</f>
        <v>Framework Orchestrator</v>
      </c>
      <c r="D397" s="3" t="str">
        <f t="array" ref="D397">INDEX('final-RA-to-framework-summary'!$C$4:$Z$26, MOD(ROW(A396)-1, 23)+1, INT((ROW(A396)-1)/23)+1)</f>
        <v>explicit</v>
      </c>
      <c r="E397" s="9" t="s">
        <v>543</v>
      </c>
      <c r="F397" s="10" t="s">
        <v>544</v>
      </c>
      <c r="G397" s="10" t="s">
        <v>545</v>
      </c>
      <c r="H397" s="8"/>
      <c r="I397" s="8"/>
      <c r="J397" s="8"/>
      <c r="K397" s="8"/>
      <c r="L397" s="8"/>
      <c r="M397" s="8"/>
      <c r="N397" s="8"/>
      <c r="O397" s="8"/>
      <c r="P397" s="8"/>
      <c r="Q397" s="8"/>
      <c r="R397" s="8"/>
      <c r="S397" s="8"/>
      <c r="T397" s="8"/>
      <c r="U397" s="8"/>
      <c r="V397" s="8"/>
      <c r="W397" s="8"/>
      <c r="X397" s="8"/>
      <c r="Y397" s="8"/>
      <c r="Z397" s="8"/>
    </row>
    <row r="398">
      <c r="A398" s="3" t="str">
        <f t="array" ref="A398">INDEX('final-RA-to-framework-summary'!$C$1:$T$1, 1, INT((ROW(A397)-1)/23)+1)</f>
        <v>F18</v>
      </c>
      <c r="B398" s="3" t="str">
        <f t="array" ref="B398">INDEX('final-RA-to-framework-summary'!$C$2:$T$2, 1, INT((ROW(B397)-1)/23)+1)</f>
        <v>Tianshou</v>
      </c>
      <c r="C398" s="3" t="str">
        <f t="array" ref="C398">INDEX('final-RA-to-framework-summary'!$B$4:$B$26, MOD(ROW(A397)-1, 23)+1)</f>
        <v>Lifecycle Manager</v>
      </c>
      <c r="D398" s="3" t="str">
        <f t="array" ref="D398">INDEX('final-RA-to-framework-summary'!$C$4:$Z$26, MOD(ROW(A397)-1, 23)+1, INT((ROW(A397)-1)/23)+1)</f>
        <v>implicit</v>
      </c>
      <c r="E398" s="9" t="s">
        <v>546</v>
      </c>
      <c r="F398" s="10" t="s">
        <v>547</v>
      </c>
      <c r="G398" s="10" t="s">
        <v>548</v>
      </c>
      <c r="H398" s="8"/>
      <c r="I398" s="8"/>
      <c r="J398" s="8"/>
      <c r="K398" s="8"/>
      <c r="L398" s="8"/>
      <c r="M398" s="8"/>
      <c r="N398" s="8"/>
      <c r="O398" s="8"/>
      <c r="P398" s="8"/>
      <c r="Q398" s="8"/>
      <c r="R398" s="8"/>
      <c r="S398" s="8"/>
      <c r="T398" s="8"/>
      <c r="U398" s="8"/>
      <c r="V398" s="8"/>
      <c r="W398" s="8"/>
      <c r="X398" s="8"/>
      <c r="Y398" s="8"/>
      <c r="Z398" s="8"/>
    </row>
    <row r="399">
      <c r="A399" s="3" t="str">
        <f t="array" ref="A399">INDEX('final-RA-to-framework-summary'!$C$1:$T$1, 1, INT((ROW(A398)-1)/23)+1)</f>
        <v>F18</v>
      </c>
      <c r="B399" s="3" t="str">
        <f t="array" ref="B399">INDEX('final-RA-to-framework-summary'!$C$2:$T$2, 1, INT((ROW(B398)-1)/23)+1)</f>
        <v>Tianshou</v>
      </c>
      <c r="C399" s="3" t="str">
        <f t="array" ref="C399">INDEX('final-RA-to-framework-summary'!$B$4:$B$26, MOD(ROW(A398)-1, 23)+1)</f>
        <v>Configuration Manager</v>
      </c>
      <c r="D399" s="3" t="str">
        <f t="array" ref="D399">INDEX('final-RA-to-framework-summary'!$C$4:$Z$26, MOD(ROW(A398)-1, 23)+1, INT((ROW(A398)-1)/23)+1)</f>
        <v>explicit</v>
      </c>
      <c r="E399" s="9" t="s">
        <v>549</v>
      </c>
      <c r="F399" s="10" t="s">
        <v>550</v>
      </c>
      <c r="G399" s="8"/>
      <c r="H399" s="8"/>
      <c r="I399" s="8"/>
      <c r="J399" s="8"/>
      <c r="K399" s="8"/>
      <c r="L399" s="8"/>
      <c r="M399" s="8"/>
      <c r="N399" s="8"/>
      <c r="O399" s="8"/>
      <c r="P399" s="8"/>
      <c r="Q399" s="8"/>
      <c r="R399" s="8"/>
      <c r="S399" s="8"/>
      <c r="T399" s="8"/>
      <c r="U399" s="8"/>
      <c r="V399" s="8"/>
      <c r="W399" s="8"/>
      <c r="X399" s="8"/>
      <c r="Y399" s="8"/>
      <c r="Z399" s="8"/>
    </row>
    <row r="400">
      <c r="A400" s="3" t="str">
        <f t="array" ref="A400">INDEX('final-RA-to-framework-summary'!$C$1:$T$1, 1, INT((ROW(A399)-1)/23)+1)</f>
        <v>F18</v>
      </c>
      <c r="B400" s="3" t="str">
        <f t="array" ref="B400">INDEX('final-RA-to-framework-summary'!$C$2:$T$2, 1, INT((ROW(B399)-1)/23)+1)</f>
        <v>Tianshou</v>
      </c>
      <c r="C400" s="3" t="str">
        <f t="array" ref="C400">INDEX('final-RA-to-framework-summary'!$B$4:$B$26, MOD(ROW(A399)-1, 23)+1)</f>
        <v>Multi-Agent Coordinator</v>
      </c>
      <c r="D400" s="3" t="str">
        <f t="array" ref="D400">INDEX('final-RA-to-framework-summary'!$C$4:$Z$26, MOD(ROW(A399)-1, 23)+1, INT((ROW(A399)-1)/23)+1)</f>
        <v>implicit</v>
      </c>
      <c r="E400" s="14" t="s">
        <v>551</v>
      </c>
      <c r="F400" s="10" t="s">
        <v>552</v>
      </c>
      <c r="G400" s="10" t="s">
        <v>553</v>
      </c>
      <c r="H400" s="8"/>
      <c r="I400" s="8"/>
      <c r="J400" s="8"/>
      <c r="K400" s="8"/>
      <c r="L400" s="8"/>
      <c r="M400" s="8"/>
      <c r="N400" s="8"/>
      <c r="O400" s="8"/>
      <c r="P400" s="8"/>
      <c r="Q400" s="8"/>
      <c r="R400" s="8"/>
      <c r="S400" s="8"/>
      <c r="T400" s="8"/>
      <c r="U400" s="8"/>
      <c r="V400" s="8"/>
      <c r="W400" s="8"/>
      <c r="X400" s="8"/>
      <c r="Y400" s="8"/>
      <c r="Z400" s="8"/>
    </row>
    <row r="401">
      <c r="A401" s="3" t="str">
        <f t="array" ref="A401">INDEX('final-RA-to-framework-summary'!$C$1:$T$1, 1, INT((ROW(A400)-1)/23)+1)</f>
        <v>F18</v>
      </c>
      <c r="B401" s="3" t="str">
        <f t="array" ref="B401">INDEX('final-RA-to-framework-summary'!$C$2:$T$2, 1, INT((ROW(B400)-1)/23)+1)</f>
        <v>Tianshou</v>
      </c>
      <c r="C401" s="3" t="str">
        <f t="array" ref="C401">INDEX('final-RA-to-framework-summary'!$B$4:$B$26, MOD(ROW(A400)-1, 23)+1)</f>
        <v>Distributed Execution 
Coordinator</v>
      </c>
      <c r="D401" s="3" t="str">
        <f t="array" ref="D401">INDEX('final-RA-to-framework-summary'!$C$4:$Z$26, MOD(ROW(A400)-1, 23)+1, INT((ROW(A400)-1)/23)+1)</f>
        <v>not implemented</v>
      </c>
      <c r="E401" s="8"/>
      <c r="F401" s="8"/>
      <c r="G401" s="8"/>
      <c r="H401" s="8"/>
      <c r="I401" s="8"/>
      <c r="J401" s="8"/>
      <c r="K401" s="8"/>
      <c r="L401" s="8"/>
      <c r="M401" s="8"/>
      <c r="N401" s="8"/>
      <c r="O401" s="8"/>
      <c r="P401" s="8"/>
      <c r="Q401" s="8"/>
      <c r="R401" s="8"/>
      <c r="S401" s="8"/>
      <c r="T401" s="8"/>
      <c r="U401" s="8"/>
      <c r="V401" s="8"/>
      <c r="W401" s="8"/>
      <c r="X401" s="8"/>
      <c r="Y401" s="8"/>
      <c r="Z401" s="8"/>
    </row>
    <row r="402">
      <c r="A402" s="3" t="str">
        <f t="array" ref="A402">INDEX('final-RA-to-framework-summary'!$C$1:$T$1, 1, INT((ROW(A401)-1)/23)+1)</f>
        <v>F18</v>
      </c>
      <c r="B402" s="3" t="str">
        <f t="array" ref="B402">INDEX('final-RA-to-framework-summary'!$C$2:$T$2, 1, INT((ROW(B401)-1)/23)+1)</f>
        <v>Tianshou</v>
      </c>
      <c r="C402" s="3" t="str">
        <f t="array" ref="C402">INDEX('final-RA-to-framework-summary'!$B$4:$B$26, MOD(ROW(A401)-1, 23)+1)</f>
        <v>Agent</v>
      </c>
      <c r="D402" s="3" t="str">
        <f t="array" ref="D402">INDEX('final-RA-to-framework-summary'!$C$4:$Z$26, MOD(ROW(A401)-1, 23)+1, INT((ROW(A401)-1)/23)+1)</f>
        <v>explicit</v>
      </c>
      <c r="E402" s="9" t="s">
        <v>554</v>
      </c>
      <c r="F402" s="10" t="s">
        <v>555</v>
      </c>
      <c r="G402" s="10" t="s">
        <v>556</v>
      </c>
      <c r="H402" s="8"/>
      <c r="I402" s="8"/>
      <c r="J402" s="8"/>
      <c r="K402" s="8"/>
      <c r="L402" s="8"/>
      <c r="M402" s="8"/>
      <c r="N402" s="8"/>
      <c r="O402" s="8"/>
      <c r="P402" s="8"/>
      <c r="Q402" s="8"/>
      <c r="R402" s="8"/>
      <c r="S402" s="8"/>
      <c r="T402" s="8"/>
      <c r="U402" s="8"/>
      <c r="V402" s="8"/>
      <c r="W402" s="8"/>
      <c r="X402" s="8"/>
      <c r="Y402" s="8"/>
      <c r="Z402" s="8"/>
    </row>
    <row r="403">
      <c r="A403" s="3" t="str">
        <f t="array" ref="A403">INDEX('final-RA-to-framework-summary'!$C$1:$T$1, 1, INT((ROW(A402)-1)/23)+1)</f>
        <v>F18</v>
      </c>
      <c r="B403" s="3" t="str">
        <f t="array" ref="B403">INDEX('final-RA-to-framework-summary'!$C$2:$T$2, 1, INT((ROW(B402)-1)/23)+1)</f>
        <v>Tianshou</v>
      </c>
      <c r="C403" s="3" t="str">
        <f t="array" ref="C403">INDEX('final-RA-to-framework-summary'!$B$4:$B$26, MOD(ROW(A402)-1, 23)+1)</f>
        <v>Function Approximator</v>
      </c>
      <c r="D403" s="3" t="str">
        <f t="array" ref="D403">INDEX('final-RA-to-framework-summary'!$C$4:$Z$26, MOD(ROW(A402)-1, 23)+1, INT((ROW(A402)-1)/23)+1)</f>
        <v>explicit</v>
      </c>
      <c r="E403" s="9" t="s">
        <v>557</v>
      </c>
      <c r="F403" s="10" t="s">
        <v>558</v>
      </c>
      <c r="G403" s="8"/>
      <c r="H403" s="8"/>
      <c r="I403" s="8"/>
      <c r="J403" s="8"/>
      <c r="K403" s="8"/>
      <c r="L403" s="8"/>
      <c r="M403" s="8"/>
      <c r="N403" s="8"/>
      <c r="O403" s="8"/>
      <c r="P403" s="8"/>
      <c r="Q403" s="8"/>
      <c r="R403" s="8"/>
      <c r="S403" s="8"/>
      <c r="T403" s="8"/>
      <c r="U403" s="8"/>
      <c r="V403" s="8"/>
      <c r="W403" s="8"/>
      <c r="X403" s="8"/>
      <c r="Y403" s="8"/>
      <c r="Z403" s="8"/>
    </row>
    <row r="404">
      <c r="A404" s="3" t="str">
        <f t="array" ref="A404">INDEX('final-RA-to-framework-summary'!$C$1:$T$1, 1, INT((ROW(A403)-1)/23)+1)</f>
        <v>F18</v>
      </c>
      <c r="B404" s="3" t="str">
        <f t="array" ref="B404">INDEX('final-RA-to-framework-summary'!$C$2:$T$2, 1, INT((ROW(B403)-1)/23)+1)</f>
        <v>Tianshou</v>
      </c>
      <c r="C404" s="3" t="str">
        <f t="array" ref="C404">INDEX('final-RA-to-framework-summary'!$B$4:$B$26, MOD(ROW(A403)-1, 23)+1)</f>
        <v>Buffer</v>
      </c>
      <c r="D404" s="3" t="str">
        <f t="array" ref="D404">INDEX('final-RA-to-framework-summary'!$C$4:$Z$26, MOD(ROW(A403)-1, 23)+1, INT((ROW(A403)-1)/23)+1)</f>
        <v>explicit</v>
      </c>
      <c r="E404" s="9" t="s">
        <v>559</v>
      </c>
      <c r="F404" s="10" t="s">
        <v>560</v>
      </c>
      <c r="G404" s="8"/>
      <c r="H404" s="8"/>
      <c r="I404" s="8"/>
      <c r="J404" s="8"/>
      <c r="K404" s="8"/>
      <c r="L404" s="8"/>
      <c r="M404" s="8"/>
      <c r="N404" s="8"/>
      <c r="O404" s="8"/>
      <c r="P404" s="8"/>
      <c r="Q404" s="8"/>
      <c r="R404" s="8"/>
      <c r="S404" s="8"/>
      <c r="T404" s="8"/>
      <c r="U404" s="8"/>
      <c r="V404" s="8"/>
      <c r="W404" s="8"/>
      <c r="X404" s="8"/>
      <c r="Y404" s="8"/>
      <c r="Z404" s="8"/>
    </row>
    <row r="405">
      <c r="A405" s="3" t="str">
        <f t="array" ref="A405">INDEX('final-RA-to-framework-summary'!$C$1:$T$1, 1, INT((ROW(A404)-1)/23)+1)</f>
        <v>F18</v>
      </c>
      <c r="B405" s="3" t="str">
        <f t="array" ref="B405">INDEX('final-RA-to-framework-summary'!$C$2:$T$2, 1, INT((ROW(B404)-1)/23)+1)</f>
        <v>Tianshou</v>
      </c>
      <c r="C405" s="3" t="str">
        <f t="array" ref="C405">INDEX('final-RA-to-framework-summary'!$B$4:$B$26, MOD(ROW(A404)-1, 23)+1)</f>
        <v>Learner</v>
      </c>
      <c r="D405" s="3" t="str">
        <f t="array" ref="D405">INDEX('final-RA-to-framework-summary'!$C$4:$Z$26, MOD(ROW(A404)-1, 23)+1, INT((ROW(A404)-1)/23)+1)</f>
        <v>explicit</v>
      </c>
      <c r="E405" s="9" t="s">
        <v>561</v>
      </c>
      <c r="F405" s="10" t="s">
        <v>562</v>
      </c>
      <c r="G405" s="10" t="s">
        <v>563</v>
      </c>
      <c r="H405" s="8"/>
      <c r="I405" s="8"/>
      <c r="J405" s="8"/>
      <c r="K405" s="8"/>
      <c r="L405" s="8"/>
      <c r="M405" s="8"/>
      <c r="N405" s="8"/>
      <c r="O405" s="8"/>
      <c r="P405" s="8"/>
      <c r="Q405" s="8"/>
      <c r="R405" s="8"/>
      <c r="S405" s="8"/>
      <c r="T405" s="8"/>
      <c r="U405" s="8"/>
      <c r="V405" s="8"/>
      <c r="W405" s="8"/>
      <c r="X405" s="8"/>
      <c r="Y405" s="8"/>
      <c r="Z405" s="8"/>
    </row>
    <row r="406">
      <c r="A406" s="3" t="str">
        <f t="array" ref="A406">INDEX('final-RA-to-framework-summary'!$C$1:$T$1, 1, INT((ROW(A405)-1)/23)+1)</f>
        <v>F18</v>
      </c>
      <c r="B406" s="3" t="str">
        <f t="array" ref="B406">INDEX('final-RA-to-framework-summary'!$C$2:$T$2, 1, INT((ROW(B405)-1)/23)+1)</f>
        <v>Tianshou</v>
      </c>
      <c r="C406" s="3" t="str">
        <f t="array" ref="C406">INDEX('final-RA-to-framework-summary'!$B$4:$B$26, MOD(ROW(A405)-1, 23)+1)</f>
        <v>Environment</v>
      </c>
      <c r="D406" s="3" t="str">
        <f t="array" ref="D406">INDEX('final-RA-to-framework-summary'!$C$4:$Z$26, MOD(ROW(A405)-1, 23)+1, INT((ROW(A405)-1)/23)+1)</f>
        <v>not implemented</v>
      </c>
      <c r="E406" s="8"/>
      <c r="F406" s="8"/>
      <c r="G406" s="8"/>
      <c r="H406" s="8"/>
      <c r="I406" s="8"/>
      <c r="J406" s="8"/>
      <c r="K406" s="8"/>
      <c r="L406" s="8"/>
      <c r="M406" s="8"/>
      <c r="N406" s="8"/>
      <c r="O406" s="8"/>
      <c r="P406" s="8"/>
      <c r="Q406" s="8"/>
      <c r="R406" s="8"/>
      <c r="S406" s="8"/>
      <c r="T406" s="8"/>
      <c r="U406" s="8"/>
      <c r="V406" s="8"/>
      <c r="W406" s="8"/>
      <c r="X406" s="8"/>
      <c r="Y406" s="8"/>
      <c r="Z406" s="8"/>
    </row>
    <row r="407">
      <c r="A407" s="3" t="str">
        <f t="array" ref="A407">INDEX('final-RA-to-framework-summary'!$C$1:$T$1, 1, INT((ROW(A406)-1)/23)+1)</f>
        <v>F18</v>
      </c>
      <c r="B407" s="3" t="str">
        <f t="array" ref="B407">INDEX('final-RA-to-framework-summary'!$C$2:$T$2, 1, INT((ROW(B406)-1)/23)+1)</f>
        <v>Tianshou</v>
      </c>
      <c r="C407" s="3" t="str">
        <f t="array" ref="C407">INDEX('final-RA-to-framework-summary'!$B$4:$B$26, MOD(ROW(A406)-1, 23)+1)</f>
        <v>Environment Core</v>
      </c>
      <c r="D407" s="3" t="str">
        <f t="array" ref="D407">INDEX('final-RA-to-framework-summary'!$C$4:$Z$26, MOD(ROW(A406)-1, 23)+1, INT((ROW(A406)-1)/23)+1)</f>
        <v>not implemented</v>
      </c>
      <c r="E407" s="8"/>
      <c r="F407" s="8"/>
      <c r="G407" s="8"/>
      <c r="H407" s="8"/>
      <c r="I407" s="8"/>
      <c r="J407" s="8"/>
      <c r="K407" s="8"/>
      <c r="L407" s="8"/>
      <c r="M407" s="8"/>
      <c r="N407" s="8"/>
      <c r="O407" s="8"/>
      <c r="P407" s="8"/>
      <c r="Q407" s="8"/>
      <c r="R407" s="8"/>
      <c r="S407" s="8"/>
      <c r="T407" s="8"/>
      <c r="U407" s="8"/>
      <c r="V407" s="8"/>
      <c r="W407" s="8"/>
      <c r="X407" s="8"/>
      <c r="Y407" s="8"/>
      <c r="Z407" s="8"/>
    </row>
    <row r="408">
      <c r="A408" s="3" t="str">
        <f t="array" ref="A408">INDEX('final-RA-to-framework-summary'!$C$1:$T$1, 1, INT((ROW(A407)-1)/23)+1)</f>
        <v>F18</v>
      </c>
      <c r="B408" s="3" t="str">
        <f t="array" ref="B408">INDEX('final-RA-to-framework-summary'!$C$2:$T$2, 1, INT((ROW(B407)-1)/23)+1)</f>
        <v>Tianshou</v>
      </c>
      <c r="C408" s="3" t="str">
        <f t="array" ref="C408">INDEX('final-RA-to-framework-summary'!$B$4:$B$26, MOD(ROW(A407)-1, 23)+1)</f>
        <v>Simulator</v>
      </c>
      <c r="D408" s="3" t="str">
        <f t="array" ref="D408">INDEX('final-RA-to-framework-summary'!$C$4:$Z$26, MOD(ROW(A407)-1, 23)+1, INT((ROW(A407)-1)/23)+1)</f>
        <v>not implemented</v>
      </c>
      <c r="E408" s="8"/>
      <c r="F408" s="8"/>
      <c r="G408" s="8"/>
      <c r="H408" s="8"/>
      <c r="I408" s="8"/>
      <c r="J408" s="8"/>
      <c r="K408" s="8"/>
      <c r="L408" s="8"/>
      <c r="M408" s="8"/>
      <c r="N408" s="8"/>
      <c r="O408" s="8"/>
      <c r="P408" s="8"/>
      <c r="Q408" s="8"/>
      <c r="R408" s="8"/>
      <c r="S408" s="8"/>
      <c r="T408" s="8"/>
      <c r="U408" s="8"/>
      <c r="V408" s="8"/>
      <c r="W408" s="8"/>
      <c r="X408" s="8"/>
      <c r="Y408" s="8"/>
      <c r="Z408" s="8"/>
    </row>
    <row r="409">
      <c r="A409" s="3" t="str">
        <f t="array" ref="A409">INDEX('final-RA-to-framework-summary'!$C$1:$T$1, 1, INT((ROW(A408)-1)/23)+1)</f>
        <v>F18</v>
      </c>
      <c r="B409" s="3" t="str">
        <f t="array" ref="B409">INDEX('final-RA-to-framework-summary'!$C$2:$T$2, 1, INT((ROW(B408)-1)/23)+1)</f>
        <v>Tianshou</v>
      </c>
      <c r="C409" s="3" t="str">
        <f t="array" ref="C409">INDEX('final-RA-to-framework-summary'!$B$4:$B$26, MOD(ROW(A408)-1, 23)+1)</f>
        <v>Simulator Adapter</v>
      </c>
      <c r="D409" s="3" t="str">
        <f t="array" ref="D409">INDEX('final-RA-to-framework-summary'!$C$4:$Z$26, MOD(ROW(A408)-1, 23)+1, INT((ROW(A408)-1)/23)+1)</f>
        <v>not implemented</v>
      </c>
      <c r="E409" s="8"/>
      <c r="F409" s="8"/>
      <c r="G409" s="8"/>
      <c r="H409" s="8"/>
      <c r="I409" s="8"/>
      <c r="J409" s="8"/>
      <c r="K409" s="8"/>
      <c r="L409" s="8"/>
      <c r="M409" s="8"/>
      <c r="N409" s="8"/>
      <c r="O409" s="8"/>
      <c r="P409" s="8"/>
      <c r="Q409" s="8"/>
      <c r="R409" s="8"/>
      <c r="S409" s="8"/>
      <c r="T409" s="8"/>
      <c r="U409" s="8"/>
      <c r="V409" s="8"/>
      <c r="W409" s="8"/>
      <c r="X409" s="8"/>
      <c r="Y409" s="8"/>
      <c r="Z409" s="8"/>
    </row>
    <row r="410">
      <c r="A410" s="3" t="str">
        <f t="array" ref="A410">INDEX('final-RA-to-framework-summary'!$C$1:$T$1, 1, INT((ROW(A409)-1)/23)+1)</f>
        <v>F18</v>
      </c>
      <c r="B410" s="3" t="str">
        <f t="array" ref="B410">INDEX('final-RA-to-framework-summary'!$C$2:$T$2, 1, INT((ROW(B409)-1)/23)+1)</f>
        <v>Tianshou</v>
      </c>
      <c r="C410" s="3" t="str">
        <f t="array" ref="C410">INDEX('final-RA-to-framework-summary'!$B$4:$B$26, MOD(ROW(A409)-1, 23)+1)</f>
        <v>Checkpoint Manager</v>
      </c>
      <c r="D410" s="3" t="str">
        <f t="array" ref="D410">INDEX('final-RA-to-framework-summary'!$C$4:$Z$26, MOD(ROW(A409)-1, 23)+1, INT((ROW(A409)-1)/23)+1)</f>
        <v>explicit</v>
      </c>
      <c r="E410" s="9" t="s">
        <v>564</v>
      </c>
      <c r="F410" s="10" t="s">
        <v>565</v>
      </c>
      <c r="G410" s="8"/>
      <c r="H410" s="8"/>
      <c r="I410" s="8"/>
      <c r="J410" s="8"/>
      <c r="K410" s="8"/>
      <c r="L410" s="8"/>
      <c r="M410" s="8"/>
      <c r="N410" s="8"/>
      <c r="O410" s="8"/>
      <c r="P410" s="8"/>
      <c r="Q410" s="8"/>
      <c r="R410" s="8"/>
      <c r="S410" s="8"/>
      <c r="T410" s="8"/>
      <c r="U410" s="8"/>
      <c r="V410" s="8"/>
      <c r="W410" s="8"/>
      <c r="X410" s="8"/>
      <c r="Y410" s="8"/>
      <c r="Z410" s="8"/>
    </row>
    <row r="411">
      <c r="A411" s="3" t="str">
        <f t="array" ref="A411">INDEX('final-RA-to-framework-summary'!$C$1:$T$1, 1, INT((ROW(A410)-1)/23)+1)</f>
        <v>F18</v>
      </c>
      <c r="B411" s="3" t="str">
        <f t="array" ref="B411">INDEX('final-RA-to-framework-summary'!$C$2:$T$2, 1, INT((ROW(B410)-1)/23)+1)</f>
        <v>Tianshou</v>
      </c>
      <c r="C411" s="3" t="str">
        <f t="array" ref="C411">INDEX('final-RA-to-framework-summary'!$B$4:$B$26, MOD(ROW(A410)-1, 23)+1)</f>
        <v>Environment Parameter 
Manager</v>
      </c>
      <c r="D411" s="3" t="str">
        <f t="array" ref="D411">INDEX('final-RA-to-framework-summary'!$C$4:$Z$26, MOD(ROW(A410)-1, 23)+1, INT((ROW(A410)-1)/23)+1)</f>
        <v>not implemented</v>
      </c>
      <c r="E411" s="8"/>
      <c r="F411" s="8"/>
      <c r="G411" s="8"/>
      <c r="H411" s="8"/>
      <c r="I411" s="8"/>
      <c r="J411" s="8"/>
      <c r="K411" s="8"/>
      <c r="L411" s="8"/>
      <c r="M411" s="8"/>
      <c r="N411" s="8"/>
      <c r="O411" s="8"/>
      <c r="P411" s="8"/>
      <c r="Q411" s="8"/>
      <c r="R411" s="8"/>
      <c r="S411" s="8"/>
      <c r="T411" s="8"/>
      <c r="U411" s="8"/>
      <c r="V411" s="8"/>
      <c r="W411" s="8"/>
      <c r="X411" s="8"/>
      <c r="Y411" s="8"/>
      <c r="Z411" s="8"/>
    </row>
    <row r="412">
      <c r="A412" s="3" t="str">
        <f t="array" ref="A412">INDEX('final-RA-to-framework-summary'!$C$1:$T$1, 1, INT((ROW(A411)-1)/23)+1)</f>
        <v>F18</v>
      </c>
      <c r="B412" s="3" t="str">
        <f t="array" ref="B412">INDEX('final-RA-to-framework-summary'!$C$2:$T$2, 1, INT((ROW(B411)-1)/23)+1)</f>
        <v>Tianshou</v>
      </c>
      <c r="C412" s="3" t="str">
        <f t="array" ref="C412">INDEX('final-RA-to-framework-summary'!$B$4:$B$26, MOD(ROW(A411)-1, 23)+1)</f>
        <v>Renderer</v>
      </c>
      <c r="D412" s="3" t="str">
        <f t="array" ref="D412">INDEX('final-RA-to-framework-summary'!$C$4:$Z$26, MOD(ROW(A411)-1, 23)+1, INT((ROW(A411)-1)/23)+1)</f>
        <v>not implemented</v>
      </c>
      <c r="E412" s="8"/>
      <c r="F412" s="8"/>
      <c r="G412" s="8"/>
      <c r="H412" s="8"/>
      <c r="I412" s="8"/>
      <c r="J412" s="8"/>
      <c r="K412" s="8"/>
      <c r="L412" s="8"/>
      <c r="M412" s="8"/>
      <c r="N412" s="8"/>
      <c r="O412" s="8"/>
      <c r="P412" s="8"/>
      <c r="Q412" s="8"/>
      <c r="R412" s="8"/>
      <c r="S412" s="8"/>
      <c r="T412" s="8"/>
      <c r="U412" s="8"/>
      <c r="V412" s="8"/>
      <c r="W412" s="8"/>
      <c r="X412" s="8"/>
      <c r="Y412" s="8"/>
      <c r="Z412" s="8"/>
    </row>
    <row r="413">
      <c r="A413" s="3" t="str">
        <f t="array" ref="A413">INDEX('final-RA-to-framework-summary'!$C$1:$T$1, 1, INT((ROW(A412)-1)/23)+1)</f>
        <v>F18</v>
      </c>
      <c r="B413" s="3" t="str">
        <f t="array" ref="B413">INDEX('final-RA-to-framework-summary'!$C$2:$T$2, 1, INT((ROW(B412)-1)/23)+1)</f>
        <v>Tianshou</v>
      </c>
      <c r="C413" s="3" t="str">
        <f t="array" ref="C413">INDEX('final-RA-to-framework-summary'!$B$4:$B$26, MOD(ROW(A412)-1, 23)+1)</f>
        <v>Recorder</v>
      </c>
      <c r="D413" s="3" t="str">
        <f t="array" ref="D413">INDEX('final-RA-to-framework-summary'!$C$4:$Z$26, MOD(ROW(A412)-1, 23)+1, INT((ROW(A412)-1)/23)+1)</f>
        <v>not implemented</v>
      </c>
      <c r="E413" s="8"/>
      <c r="F413" s="8"/>
      <c r="G413" s="8"/>
      <c r="H413" s="8"/>
      <c r="I413" s="8"/>
      <c r="J413" s="8"/>
      <c r="K413" s="8"/>
      <c r="L413" s="8"/>
      <c r="M413" s="8"/>
      <c r="N413" s="8"/>
      <c r="O413" s="8"/>
      <c r="P413" s="8"/>
      <c r="Q413" s="8"/>
      <c r="R413" s="8"/>
      <c r="S413" s="8"/>
      <c r="T413" s="8"/>
      <c r="U413" s="8"/>
      <c r="V413" s="8"/>
      <c r="W413" s="8"/>
      <c r="X413" s="8"/>
      <c r="Y413" s="8"/>
      <c r="Z413" s="8"/>
    </row>
    <row r="414">
      <c r="A414" s="3" t="str">
        <f t="array" ref="A414">INDEX('final-RA-to-framework-summary'!$C$1:$T$1, 1, INT((ROW(A413)-1)/23)+1)</f>
        <v>F18</v>
      </c>
      <c r="B414" s="3" t="str">
        <f t="array" ref="B414">INDEX('final-RA-to-framework-summary'!$C$2:$T$2, 1, INT((ROW(B413)-1)/23)+1)</f>
        <v>Tianshou</v>
      </c>
      <c r="C414" s="3" t="str">
        <f t="array" ref="C414">INDEX('final-RA-to-framework-summary'!$B$4:$B$26, MOD(ROW(A413)-1, 23)+1)</f>
        <v>Logger</v>
      </c>
      <c r="D414" s="3" t="str">
        <f t="array" ref="D414">INDEX('final-RA-to-framework-summary'!$C$4:$Z$26, MOD(ROW(A413)-1, 23)+1, INT((ROW(A413)-1)/23)+1)</f>
        <v>external</v>
      </c>
      <c r="E414" s="9" t="s">
        <v>566</v>
      </c>
      <c r="F414" s="10" t="s">
        <v>567</v>
      </c>
      <c r="G414" s="10" t="s">
        <v>568</v>
      </c>
      <c r="H414" s="10" t="s">
        <v>569</v>
      </c>
      <c r="I414" s="8"/>
      <c r="J414" s="8"/>
      <c r="K414" s="8"/>
      <c r="L414" s="8"/>
      <c r="M414" s="8"/>
      <c r="N414" s="8"/>
      <c r="O414" s="8"/>
      <c r="P414" s="8"/>
      <c r="Q414" s="8"/>
      <c r="R414" s="8"/>
      <c r="S414" s="8"/>
      <c r="T414" s="8"/>
      <c r="U414" s="8"/>
      <c r="V414" s="8"/>
      <c r="W414" s="8"/>
      <c r="X414" s="8"/>
      <c r="Y414" s="8"/>
      <c r="Z414" s="8"/>
    </row>
    <row r="415">
      <c r="A415" s="3" t="str">
        <f t="array" ref="A415">INDEX('final-RA-to-framework-summary'!$C$1:$T$1, 1, INT((ROW(A414)-1)/23)+1)</f>
        <v>F18</v>
      </c>
      <c r="B415" s="3" t="str">
        <f t="array" ref="B415">INDEX('final-RA-to-framework-summary'!$C$2:$T$2, 1, INT((ROW(B414)-1)/23)+1)</f>
        <v>Tianshou</v>
      </c>
      <c r="C415" s="3" t="str">
        <f t="array" ref="C415">INDEX('final-RA-to-framework-summary'!$B$4:$B$26, MOD(ROW(A414)-1, 23)+1)</f>
        <v>Reporter</v>
      </c>
      <c r="D415" s="3" t="str">
        <f t="array" ref="D415">INDEX('final-RA-to-framework-summary'!$C$4:$Z$26, MOD(ROW(A414)-1, 23)+1, INT((ROW(A414)-1)/23)+1)</f>
        <v>external</v>
      </c>
      <c r="E415" s="14" t="s">
        <v>570</v>
      </c>
      <c r="F415" s="10" t="s">
        <v>567</v>
      </c>
      <c r="G415" s="10" t="s">
        <v>571</v>
      </c>
      <c r="H415" s="10" t="s">
        <v>572</v>
      </c>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c r="A1001" s="8"/>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c r="A1002" s="8"/>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sheetData>
  <hyperlinks>
    <hyperlink r:id="rId1" ref="E15"/>
    <hyperlink r:id="rId2" ref="E16"/>
    <hyperlink r:id="rId3" ref="E17"/>
    <hyperlink r:id="rId4" ref="E18"/>
    <hyperlink r:id="rId5" ref="E21"/>
    <hyperlink r:id="rId6" ref="E22"/>
    <hyperlink r:id="rId7" ref="E23"/>
    <hyperlink r:id="rId8" ref="E24"/>
    <hyperlink r:id="rId9" ref="E32"/>
    <hyperlink r:id="rId10" ref="E38"/>
    <hyperlink r:id="rId11" ref="E39"/>
    <hyperlink r:id="rId12" ref="E40"/>
    <hyperlink r:id="rId13" ref="E41"/>
    <hyperlink r:id="rId14" ref="E44"/>
    <hyperlink r:id="rId15" ref="E45"/>
    <hyperlink r:id="rId16" ref="E46"/>
    <hyperlink r:id="rId17" ref="E47"/>
    <hyperlink r:id="rId18" ref="E49"/>
    <hyperlink r:id="rId19" ref="E52"/>
    <hyperlink r:id="rId20" ref="E53"/>
    <hyperlink r:id="rId21" ref="E55"/>
    <hyperlink r:id="rId22" ref="E57"/>
    <hyperlink r:id="rId23" ref="E58"/>
    <hyperlink r:id="rId24" ref="E59"/>
    <hyperlink r:id="rId25" ref="E60"/>
    <hyperlink r:id="rId26" ref="E61"/>
    <hyperlink r:id="rId27" ref="E62"/>
    <hyperlink r:id="rId28" ref="E63"/>
    <hyperlink r:id="rId29" ref="E64"/>
    <hyperlink r:id="rId30" ref="E65"/>
    <hyperlink r:id="rId31" ref="E66"/>
    <hyperlink r:id="rId32" ref="E67"/>
    <hyperlink r:id="rId33" ref="E69"/>
    <hyperlink r:id="rId34" ref="E70"/>
    <hyperlink r:id="rId35" ref="E84"/>
    <hyperlink r:id="rId36" ref="E85"/>
    <hyperlink r:id="rId37" ref="E86"/>
    <hyperlink r:id="rId38" ref="E87"/>
    <hyperlink r:id="rId39" ref="E89"/>
    <hyperlink r:id="rId40" ref="E90"/>
    <hyperlink r:id="rId41" ref="E91"/>
    <hyperlink r:id="rId42" ref="E92"/>
    <hyperlink r:id="rId43" ref="E93"/>
    <hyperlink r:id="rId44" ref="E100"/>
    <hyperlink r:id="rId45" ref="E101"/>
    <hyperlink r:id="rId46" ref="E107"/>
    <hyperlink r:id="rId47" ref="E108"/>
    <hyperlink r:id="rId48" ref="E109"/>
    <hyperlink r:id="rId49" ref="E110"/>
    <hyperlink r:id="rId50" ref="E112"/>
    <hyperlink r:id="rId51" ref="E113"/>
    <hyperlink r:id="rId52" ref="E114"/>
    <hyperlink r:id="rId53" ref="E115"/>
    <hyperlink r:id="rId54" ref="E130"/>
    <hyperlink r:id="rId55" ref="E131"/>
    <hyperlink r:id="rId56" ref="E132"/>
    <hyperlink r:id="rId57" ref="E133"/>
    <hyperlink r:id="rId58" ref="E136"/>
    <hyperlink r:id="rId59" ref="E138"/>
    <hyperlink r:id="rId60" ref="E153"/>
    <hyperlink r:id="rId61" ref="E154"/>
    <hyperlink r:id="rId62" ref="E155"/>
    <hyperlink r:id="rId63" ref="E156"/>
    <hyperlink r:id="rId64" ref="E159"/>
    <hyperlink r:id="rId65" ref="E160"/>
    <hyperlink r:id="rId66" ref="E161"/>
    <hyperlink r:id="rId67" ref="E176"/>
    <hyperlink r:id="rId68" ref="E177"/>
    <hyperlink r:id="rId69" ref="E178"/>
    <hyperlink r:id="rId70" ref="E179"/>
    <hyperlink r:id="rId71" ref="E181"/>
    <hyperlink r:id="rId72" ref="E182"/>
    <hyperlink r:id="rId73" ref="E183"/>
    <hyperlink r:id="rId74" ref="E184"/>
    <hyperlink r:id="rId75" ref="E199"/>
    <hyperlink r:id="rId76" ref="E200"/>
    <hyperlink r:id="rId77" ref="E201"/>
    <hyperlink r:id="rId78" ref="E203"/>
    <hyperlink r:id="rId79" ref="E205"/>
    <hyperlink r:id="rId80" ref="E207"/>
    <hyperlink r:id="rId81" ref="E210"/>
    <hyperlink r:id="rId82" ref="E213"/>
    <hyperlink r:id="rId83" ref="E214"/>
    <hyperlink r:id="rId84" ref="E218"/>
    <hyperlink r:id="rId85" ref="E219"/>
    <hyperlink r:id="rId86" ref="E220"/>
    <hyperlink r:id="rId87" ref="E221"/>
    <hyperlink r:id="rId88" ref="E226"/>
    <hyperlink r:id="rId89" ref="E229"/>
    <hyperlink r:id="rId90" ref="E230"/>
    <hyperlink r:id="rId91" ref="E231"/>
    <hyperlink r:id="rId92" ref="E232"/>
    <hyperlink r:id="rId93" ref="E233"/>
    <hyperlink r:id="rId94" ref="E234"/>
    <hyperlink r:id="rId95" ref="E236"/>
    <hyperlink r:id="rId96" ref="E237"/>
    <hyperlink r:id="rId97" ref="E241"/>
    <hyperlink r:id="rId98" ref="E242"/>
    <hyperlink r:id="rId99" ref="E243"/>
    <hyperlink r:id="rId100" ref="E244"/>
    <hyperlink r:id="rId101" ref="E249"/>
    <hyperlink r:id="rId102" ref="E252"/>
    <hyperlink r:id="rId103" ref="E253"/>
    <hyperlink r:id="rId104" ref="E254"/>
    <hyperlink r:id="rId105" ref="E256"/>
    <hyperlink r:id="rId106" ref="E257"/>
    <hyperlink r:id="rId107" ref="E259"/>
    <hyperlink r:id="rId108" ref="E260"/>
    <hyperlink r:id="rId109" ref="E261"/>
    <hyperlink r:id="rId110" ref="E262"/>
    <hyperlink r:id="rId111" ref="E263"/>
    <hyperlink r:id="rId112" ref="E264"/>
    <hyperlink r:id="rId113" ref="E265"/>
    <hyperlink r:id="rId114" ref="E266"/>
    <hyperlink r:id="rId115" ref="E267"/>
    <hyperlink r:id="rId116" ref="E272"/>
    <hyperlink r:id="rId117" ref="E273"/>
    <hyperlink r:id="rId118" ref="E277"/>
    <hyperlink r:id="rId119" ref="E279"/>
    <hyperlink r:id="rId120" ref="E282"/>
    <hyperlink r:id="rId121" ref="E283"/>
    <hyperlink r:id="rId122" ref="E286"/>
    <hyperlink r:id="rId123" ref="E287"/>
    <hyperlink r:id="rId124" ref="E288"/>
    <hyperlink r:id="rId125" ref="E289"/>
    <hyperlink r:id="rId126" ref="E290"/>
    <hyperlink r:id="rId127" ref="E295"/>
    <hyperlink r:id="rId128" ref="E298"/>
    <hyperlink r:id="rId129" ref="E299"/>
    <hyperlink r:id="rId130" ref="E302"/>
    <hyperlink r:id="rId131" ref="E303"/>
    <hyperlink r:id="rId132" ref="E305"/>
    <hyperlink r:id="rId133" ref="E306"/>
    <hyperlink r:id="rId134" ref="E307"/>
    <hyperlink r:id="rId135" ref="E308"/>
    <hyperlink r:id="rId136" ref="E309"/>
    <hyperlink r:id="rId137" ref="E310"/>
    <hyperlink r:id="rId138" ref="E311"/>
    <hyperlink r:id="rId139" ref="E312"/>
    <hyperlink r:id="rId140" ref="E313"/>
    <hyperlink r:id="rId141" ref="E318"/>
    <hyperlink r:id="rId142" ref="E322"/>
    <hyperlink r:id="rId143" ref="E323"/>
    <hyperlink r:id="rId144" ref="E325"/>
    <hyperlink r:id="rId145" ref="E327"/>
    <hyperlink r:id="rId146" ref="E328"/>
    <hyperlink r:id="rId147" ref="E329"/>
    <hyperlink r:id="rId148" ref="E330"/>
    <hyperlink r:id="rId149" ref="E331"/>
    <hyperlink r:id="rId150" ref="E333"/>
    <hyperlink r:id="rId151" ref="E334"/>
    <hyperlink r:id="rId152" ref="E335"/>
    <hyperlink r:id="rId153" ref="E336"/>
    <hyperlink r:id="rId154" ref="E341"/>
    <hyperlink r:id="rId155" ref="E344"/>
    <hyperlink r:id="rId156" ref="E345"/>
    <hyperlink r:id="rId157" ref="E346"/>
    <hyperlink r:id="rId158" ref="E348"/>
    <hyperlink r:id="rId159" ref="E351"/>
    <hyperlink r:id="rId160" ref="E352"/>
    <hyperlink r:id="rId161" ref="E353"/>
    <hyperlink r:id="rId162" ref="E355"/>
    <hyperlink r:id="rId163" ref="E356"/>
    <hyperlink r:id="rId164" ref="E357"/>
    <hyperlink r:id="rId165" ref="E358"/>
    <hyperlink r:id="rId166" ref="E359"/>
    <hyperlink r:id="rId167" ref="E364"/>
    <hyperlink r:id="rId168" ref="E368"/>
    <hyperlink r:id="rId169" ref="E369"/>
    <hyperlink r:id="rId170" ref="E371"/>
    <hyperlink r:id="rId171" ref="E374"/>
    <hyperlink r:id="rId172" ref="E375"/>
    <hyperlink r:id="rId173" ref="E376"/>
    <hyperlink r:id="rId174" ref="E379"/>
    <hyperlink r:id="rId175" ref="E380"/>
    <hyperlink r:id="rId176" ref="E381"/>
    <hyperlink r:id="rId177" ref="E382"/>
    <hyperlink r:id="rId178" ref="E387"/>
    <hyperlink r:id="rId179" ref="E390"/>
    <hyperlink r:id="rId180" ref="E391"/>
    <hyperlink r:id="rId181" ref="E392"/>
    <hyperlink r:id="rId182" ref="E394"/>
    <hyperlink r:id="rId183" ref="E397"/>
    <hyperlink r:id="rId184" ref="E398"/>
    <hyperlink r:id="rId185" ref="E399"/>
    <hyperlink r:id="rId186" ref="E400"/>
    <hyperlink r:id="rId187" ref="E402"/>
    <hyperlink r:id="rId188" ref="E403"/>
    <hyperlink r:id="rId189" ref="E404"/>
    <hyperlink r:id="rId190" ref="E405"/>
    <hyperlink r:id="rId191" ref="E410"/>
    <hyperlink r:id="rId192" ref="E414"/>
    <hyperlink r:id="rId193" ref="E415"/>
  </hyperlinks>
  <drawing r:id="rId194"/>
</worksheet>
</file>